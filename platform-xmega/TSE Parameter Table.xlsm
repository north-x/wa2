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avr\contiki\contiki\"/>
    </mc:Choice>
  </mc:AlternateContent>
  <bookViews>
    <workbookView xWindow="120" yWindow="60" windowWidth="18915" windowHeight="8505"/>
  </bookViews>
  <sheets>
    <sheet name="Tabelle1" sheetId="1" r:id="rId1"/>
    <sheet name="Tabelle2" sheetId="2" r:id="rId2"/>
    <sheet name="Tabelle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34" i="1" l="1"/>
  <c r="A35" i="1" s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F34" i="1"/>
  <c r="F35" i="1"/>
  <c r="G10" i="1"/>
  <c r="F10" i="1"/>
  <c r="G6" i="1"/>
  <c r="G11" i="1"/>
  <c r="G15" i="1"/>
  <c r="G19" i="1"/>
  <c r="G23" i="1"/>
  <c r="G27" i="1"/>
  <c r="G3" i="1"/>
  <c r="G7" i="1"/>
  <c r="G12" i="1"/>
  <c r="G16" i="1"/>
  <c r="G20" i="1"/>
  <c r="G24" i="1"/>
  <c r="G28" i="1"/>
  <c r="G31" i="1"/>
  <c r="G2" i="1"/>
  <c r="F3" i="1"/>
  <c r="F12" i="1"/>
  <c r="F20" i="1"/>
  <c r="F28" i="1"/>
  <c r="F6" i="1"/>
  <c r="F15" i="1"/>
  <c r="F23" i="1"/>
  <c r="F31" i="1"/>
  <c r="F9" i="1"/>
  <c r="F22" i="1"/>
  <c r="F4" i="1"/>
  <c r="F29" i="1"/>
  <c r="F30" i="1"/>
  <c r="F13" i="1"/>
  <c r="F25" i="1"/>
  <c r="F2" i="1"/>
  <c r="G4" i="1"/>
  <c r="G8" i="1"/>
  <c r="G13" i="1"/>
  <c r="G17" i="1"/>
  <c r="G21" i="1"/>
  <c r="G25" i="1"/>
  <c r="G29" i="1"/>
  <c r="G5" i="1"/>
  <c r="G9" i="1"/>
  <c r="G14" i="1"/>
  <c r="G18" i="1"/>
  <c r="G22" i="1"/>
  <c r="G26" i="1"/>
  <c r="G30" i="1"/>
  <c r="G32" i="1"/>
  <c r="G33" i="1"/>
  <c r="F7" i="1"/>
  <c r="F16" i="1"/>
  <c r="F24" i="1"/>
  <c r="F32" i="1"/>
  <c r="F11" i="1"/>
  <c r="F19" i="1"/>
  <c r="F27" i="1"/>
  <c r="F5" i="1"/>
  <c r="F18" i="1"/>
  <c r="F26" i="1"/>
  <c r="F21" i="1"/>
  <c r="F14" i="1"/>
  <c r="F8" i="1"/>
  <c r="F17" i="1"/>
  <c r="F33" i="1"/>
</calcChain>
</file>

<file path=xl/sharedStrings.xml><?xml version="1.0" encoding="utf-8"?>
<sst xmlns="http://schemas.openxmlformats.org/spreadsheetml/2006/main" count="125" uniqueCount="84">
  <si>
    <t>Name</t>
  </si>
  <si>
    <t>Variable</t>
  </si>
  <si>
    <t>Update Function</t>
  </si>
  <si>
    <t>const</t>
  </si>
  <si>
    <t>uint8</t>
  </si>
  <si>
    <t>uint16L</t>
  </si>
  <si>
    <t>uint16H</t>
  </si>
  <si>
    <t>Port Digital Output Select</t>
  </si>
  <si>
    <t>Port Digital Output Cmd</t>
  </si>
  <si>
    <t>Port Digital Input Status</t>
  </si>
  <si>
    <t>LN GPIO Status</t>
  </si>
  <si>
    <t>LN GPIO Status Transmit</t>
  </si>
  <si>
    <t>ln_gpio_status</t>
  </si>
  <si>
    <t>ln_gpio_status_tx</t>
  </si>
  <si>
    <t>pwm_port[0].dimm_target</t>
  </si>
  <si>
    <t>PWM Port 1 Target</t>
  </si>
  <si>
    <t>PWM Port 2 Target</t>
  </si>
  <si>
    <t>PWM Port 3 Target</t>
  </si>
  <si>
    <t>PWM Port 4 Target</t>
  </si>
  <si>
    <t>PWM Port 5 Target</t>
  </si>
  <si>
    <t>PWM Port 6 Target</t>
  </si>
  <si>
    <t>PWM Port 7 Target</t>
  </si>
  <si>
    <t>pwm_port[1].dimm_target</t>
  </si>
  <si>
    <t>pwm_port[2].dimm_target</t>
  </si>
  <si>
    <t>pwm_port[3].dimm_target</t>
  </si>
  <si>
    <t>pwm_port[4].dimm_target</t>
  </si>
  <si>
    <t>pwm_port[5].dimm_target</t>
  </si>
  <si>
    <t>pwm_port[6].dimm_target</t>
  </si>
  <si>
    <t>pwm_port[0].dimm_delta</t>
  </si>
  <si>
    <t>PWM Port 1 Delta</t>
  </si>
  <si>
    <t>PWM Port 2 Delta</t>
  </si>
  <si>
    <t>PWM Port 3 Delta</t>
  </si>
  <si>
    <t>PWM Port 4 Delta</t>
  </si>
  <si>
    <t>PWM Port 5 Delta</t>
  </si>
  <si>
    <t>PWM Port 6 Delta</t>
  </si>
  <si>
    <t>PWM Port 7 Delta</t>
  </si>
  <si>
    <t>pwm_port[1].dimm_delta</t>
  </si>
  <si>
    <t>pwm_port[2].dimm_delta</t>
  </si>
  <si>
    <t>pwm_port[3].dimm_delta</t>
  </si>
  <si>
    <t>pwm_port[4].dimm_delta</t>
  </si>
  <si>
    <t>pwm_port[5].dimm_delta</t>
  </si>
  <si>
    <t>pwm_port[6].dimm_delta</t>
  </si>
  <si>
    <t>PWM Port Select</t>
  </si>
  <si>
    <t>PWM Port Target</t>
  </si>
  <si>
    <t>PWM Port Delta</t>
  </si>
  <si>
    <t>Servo 1 Setpoint</t>
  </si>
  <si>
    <t>Servo 1 Delta</t>
  </si>
  <si>
    <t>Servo 2 Setpoint</t>
  </si>
  <si>
    <t>Servo 2 Delta</t>
  </si>
  <si>
    <t>servo[1].time_delta</t>
  </si>
  <si>
    <t>servo[0].time_delta</t>
  </si>
  <si>
    <t>servo[0].position_setpoint</t>
  </si>
  <si>
    <t>servo[1].position_setpoint</t>
  </si>
  <si>
    <t>Relay Command</t>
  </si>
  <si>
    <t>relay_request</t>
  </si>
  <si>
    <t>port_di</t>
  </si>
  <si>
    <t>port_do</t>
  </si>
  <si>
    <t>port_do_select</t>
  </si>
  <si>
    <t>servo1_at_setpoint</t>
  </si>
  <si>
    <t>servo2_at_setpoint</t>
  </si>
  <si>
    <t>TSE Timer</t>
  </si>
  <si>
    <t>tse_timer_temp</t>
  </si>
  <si>
    <t>tse_timer_update</t>
  </si>
  <si>
    <t>dimm_select_update</t>
  </si>
  <si>
    <t>dimm_delta_update</t>
  </si>
  <si>
    <t>dimm_target_update</t>
  </si>
  <si>
    <t>dimm_temp</t>
  </si>
  <si>
    <t>dimm_at_setpoint</t>
  </si>
  <si>
    <t>Parameter</t>
  </si>
  <si>
    <t>Port Mode</t>
  </si>
  <si>
    <t>port_mode</t>
  </si>
  <si>
    <t>User Register 1</t>
  </si>
  <si>
    <t>tse_user_reg1</t>
  </si>
  <si>
    <t>User Register 2</t>
  </si>
  <si>
    <t>tse_user_reg2</t>
  </si>
  <si>
    <t>Type</t>
  </si>
  <si>
    <t>Random Number</t>
  </si>
  <si>
    <t>random_update</t>
  </si>
  <si>
    <t>funCall</t>
  </si>
  <si>
    <t>random_temp</t>
  </si>
  <si>
    <t>LN GPIO Opcode Tx 1</t>
  </si>
  <si>
    <t>ln_gpio_opcode_tx</t>
  </si>
  <si>
    <t>ln_gpio_opcode_tx2</t>
  </si>
  <si>
    <t>LN GPIO Opcode Tx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</si>
</sst>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G35"/>
  <sheetViews>
    <sheetView tabSelected="1" topLeftCell="A12" workbookViewId="0">
      <selection activeCell="B34" sqref="B34"/>
    </sheetView>
  </sheetViews>
  <sheetFormatPr baseColWidth="10" defaultRowHeight="15" x14ac:dyDescent="0.25"/>
  <cols>
    <col min="2" max="2" width="23.7109375" bestFit="1" customWidth="1"/>
    <col min="3" max="3" width="15.42578125" customWidth="1"/>
    <col min="4" max="4" width="33.28515625" bestFit="1" customWidth="1"/>
    <col min="5" max="5" width="20.42578125" customWidth="1"/>
    <col min="6" max="6" width="65.28515625" bestFit="1" customWidth="1"/>
    <col min="7" max="7" width="36.42578125" bestFit="1" customWidth="1"/>
  </cols>
  <sheetData>
    <row r="1" spans="1:7" x14ac:dyDescent="0.25">
      <c r="A1" t="s">
        <v>68</v>
      </c>
      <c r="B1" t="s">
        <v>0</v>
      </c>
      <c r="C1" t="s">
        <v>75</v>
      </c>
      <c r="D1" t="s">
        <v>1</v>
      </c>
      <c r="E1" t="s">
        <v>2</v>
      </c>
    </row>
    <row r="2" spans="1:7" x14ac:dyDescent="0.25">
      <c r="A2">
        <v>0</v>
      </c>
      <c r="B2" t="s">
        <v>10</v>
      </c>
      <c r="C2" t="s">
        <v>4</v>
      </c>
      <c r="D2" t="s">
        <v>12</v>
      </c>
      <c r="F2" t="str">
        <f t="shared" ref="F2:F35" si="0">genParamEntry(A2:E2)</f>
        <v>PARAM8(0, "LN GPIO Status", ln_gpio_status, 0)</v>
      </c>
      <c r="G2" t="str">
        <f t="shared" ref="G2:G33" si="1">genParamText(A2:E2)</f>
        <v>PARAMTEXT(0, "LN GPIO Status")</v>
      </c>
    </row>
    <row r="3" spans="1:7" x14ac:dyDescent="0.25">
      <c r="A3">
        <f>A2+1</f>
        <v>1</v>
      </c>
      <c r="B3" t="s">
        <v>11</v>
      </c>
      <c r="C3" t="s">
        <v>4</v>
      </c>
      <c r="D3" t="s">
        <v>13</v>
      </c>
      <c r="F3" t="str">
        <f t="shared" si="0"/>
        <v>PARAM8(1, "LN GPIO Status Transmit", ln_gpio_status_tx, 0)</v>
      </c>
      <c r="G3" t="str">
        <f t="shared" si="1"/>
        <v>PARAMTEXT(1, "LN GPIO Status Transmit")</v>
      </c>
    </row>
    <row r="4" spans="1:7" x14ac:dyDescent="0.25">
      <c r="A4">
        <f t="shared" ref="A4:A35" si="2">A3+1</f>
        <v>2</v>
      </c>
      <c r="B4" t="s">
        <v>53</v>
      </c>
      <c r="C4" t="s">
        <v>4</v>
      </c>
      <c r="D4" t="s">
        <v>54</v>
      </c>
      <c r="F4" t="str">
        <f t="shared" si="0"/>
        <v>PARAM8(2, "Relay Command", relay_request, 0)</v>
      </c>
      <c r="G4" t="str">
        <f t="shared" si="1"/>
        <v>PARAMTEXT(2, "Relay Command")</v>
      </c>
    </row>
    <row r="5" spans="1:7" x14ac:dyDescent="0.25">
      <c r="A5">
        <f t="shared" si="2"/>
        <v>3</v>
      </c>
      <c r="B5" t="s">
        <v>46</v>
      </c>
      <c r="C5" t="s">
        <v>4</v>
      </c>
      <c r="D5" t="s">
        <v>50</v>
      </c>
      <c r="F5" t="str">
        <f t="shared" si="0"/>
        <v>PARAM8(3, "Servo 1 Delta", servo[0].time_delta, 0)</v>
      </c>
      <c r="G5" t="str">
        <f t="shared" si="1"/>
        <v>PARAMTEXT(3, "Servo 1 Delta")</v>
      </c>
    </row>
    <row r="6" spans="1:7" x14ac:dyDescent="0.25">
      <c r="A6">
        <f t="shared" si="2"/>
        <v>4</v>
      </c>
      <c r="B6" t="s">
        <v>45</v>
      </c>
      <c r="C6" t="s">
        <v>4</v>
      </c>
      <c r="D6" t="s">
        <v>51</v>
      </c>
      <c r="E6" t="s">
        <v>58</v>
      </c>
      <c r="F6" t="str">
        <f t="shared" si="0"/>
        <v>PARAM8(4, "Servo 1 Setpoint", servo[0].position_setpoint, servo1_at_setpoint)</v>
      </c>
      <c r="G6" t="str">
        <f t="shared" si="1"/>
        <v>PARAMTEXT(4, "Servo 1 Setpoint")</v>
      </c>
    </row>
    <row r="7" spans="1:7" x14ac:dyDescent="0.25">
      <c r="A7">
        <f t="shared" si="2"/>
        <v>5</v>
      </c>
      <c r="B7" t="s">
        <v>48</v>
      </c>
      <c r="C7" t="s">
        <v>4</v>
      </c>
      <c r="D7" t="s">
        <v>49</v>
      </c>
      <c r="F7" t="str">
        <f t="shared" si="0"/>
        <v>PARAM8(5, "Servo 2 Delta", servo[1].time_delta, 0)</v>
      </c>
      <c r="G7" t="str">
        <f t="shared" si="1"/>
        <v>PARAMTEXT(5, "Servo 2 Delta")</v>
      </c>
    </row>
    <row r="8" spans="1:7" x14ac:dyDescent="0.25">
      <c r="A8">
        <f t="shared" si="2"/>
        <v>6</v>
      </c>
      <c r="B8" t="s">
        <v>47</v>
      </c>
      <c r="C8" t="s">
        <v>4</v>
      </c>
      <c r="D8" t="s">
        <v>52</v>
      </c>
      <c r="E8" t="s">
        <v>59</v>
      </c>
      <c r="F8" t="str">
        <f t="shared" si="0"/>
        <v>PARAM8(6, "Servo 2 Setpoint", servo[1].position_setpoint, servo2_at_setpoint)</v>
      </c>
      <c r="G8" t="str">
        <f t="shared" si="1"/>
        <v>PARAMTEXT(6, "Servo 2 Setpoint")</v>
      </c>
    </row>
    <row r="9" spans="1:7" x14ac:dyDescent="0.25">
      <c r="A9">
        <f t="shared" si="2"/>
        <v>7</v>
      </c>
      <c r="B9" t="s">
        <v>60</v>
      </c>
      <c r="C9" t="s">
        <v>4</v>
      </c>
      <c r="D9" t="s">
        <v>61</v>
      </c>
      <c r="E9" t="s">
        <v>62</v>
      </c>
      <c r="F9" t="str">
        <f t="shared" si="0"/>
        <v>PARAM8(7, "TSE Timer", tse_timer_temp, tse_timer_update)</v>
      </c>
      <c r="G9" t="str">
        <f t="shared" si="1"/>
        <v>PARAMTEXT(7, "TSE Timer")</v>
      </c>
    </row>
    <row r="10" spans="1:7" x14ac:dyDescent="0.25">
      <c r="A10">
        <f t="shared" si="2"/>
        <v>8</v>
      </c>
      <c r="B10" t="s">
        <v>76</v>
      </c>
      <c r="C10" t="s">
        <v>78</v>
      </c>
      <c r="D10" t="s">
        <v>79</v>
      </c>
      <c r="E10" t="s">
        <v>77</v>
      </c>
      <c r="F10" t="str">
        <f t="shared" si="0"/>
        <v>PARAMFUNCALL(8, "Random Number", random_temp, random_update)</v>
      </c>
      <c r="G10" t="str">
        <f t="shared" si="1"/>
        <v>PARAMTEXT(8, "Random Number")</v>
      </c>
    </row>
    <row r="11" spans="1:7" x14ac:dyDescent="0.25">
      <c r="A11">
        <f t="shared" si="2"/>
        <v>9</v>
      </c>
      <c r="B11" t="s">
        <v>9</v>
      </c>
      <c r="C11" t="s">
        <v>4</v>
      </c>
      <c r="D11" t="s">
        <v>55</v>
      </c>
      <c r="F11" t="str">
        <f t="shared" si="0"/>
        <v>PARAM8(9, "Port Digital Input Status", port_di, 0)</v>
      </c>
      <c r="G11" t="str">
        <f t="shared" si="1"/>
        <v>PARAMTEXT(9, "Port Digital Input Status")</v>
      </c>
    </row>
    <row r="12" spans="1:7" x14ac:dyDescent="0.25">
      <c r="A12">
        <f t="shared" si="2"/>
        <v>10</v>
      </c>
      <c r="B12" t="s">
        <v>7</v>
      </c>
      <c r="C12" t="s">
        <v>4</v>
      </c>
      <c r="D12" t="s">
        <v>57</v>
      </c>
      <c r="F12" t="str">
        <f t="shared" si="0"/>
        <v>PARAM8(10, "Port Digital Output Select", port_do_select, 0)</v>
      </c>
      <c r="G12" t="str">
        <f t="shared" si="1"/>
        <v>PARAMTEXT(10, "Port Digital Output Select")</v>
      </c>
    </row>
    <row r="13" spans="1:7" x14ac:dyDescent="0.25">
      <c r="A13">
        <f t="shared" si="2"/>
        <v>11</v>
      </c>
      <c r="B13" t="s">
        <v>8</v>
      </c>
      <c r="C13" t="s">
        <v>4</v>
      </c>
      <c r="D13" t="s">
        <v>56</v>
      </c>
      <c r="F13" t="str">
        <f t="shared" si="0"/>
        <v>PARAM8(11, "Port Digital Output Cmd", port_do, 0)</v>
      </c>
      <c r="G13" t="str">
        <f t="shared" si="1"/>
        <v>PARAMTEXT(11, "Port Digital Output Cmd")</v>
      </c>
    </row>
    <row r="14" spans="1:7" x14ac:dyDescent="0.25">
      <c r="A14">
        <f t="shared" si="2"/>
        <v>12</v>
      </c>
      <c r="B14" t="s">
        <v>80</v>
      </c>
      <c r="C14" t="s">
        <v>4</v>
      </c>
      <c r="D14" t="s">
        <v>81</v>
      </c>
      <c r="F14" t="str">
        <f t="shared" si="0"/>
        <v>PARAM8(12, "LN GPIO Opcode Tx 1", ln_gpio_opcode_tx, 0)</v>
      </c>
      <c r="G14" t="str">
        <f t="shared" si="1"/>
        <v>PARAMTEXT(12, "LN GPIO Opcode Tx 1")</v>
      </c>
    </row>
    <row r="15" spans="1:7" x14ac:dyDescent="0.25">
      <c r="A15">
        <f t="shared" si="2"/>
        <v>13</v>
      </c>
      <c r="B15" t="s">
        <v>83</v>
      </c>
      <c r="C15" t="s">
        <v>4</v>
      </c>
      <c r="D15" t="s">
        <v>82</v>
      </c>
      <c r="F15" t="str">
        <f t="shared" si="0"/>
        <v>PARAM8(13, "LN GPIO Opcode Tx 2", ln_gpio_opcode_tx2, 0)</v>
      </c>
      <c r="G15" t="str">
        <f t="shared" si="1"/>
        <v>PARAMTEXT(13, "LN GPIO Opcode Tx 2")</v>
      </c>
    </row>
    <row r="16" spans="1:7" x14ac:dyDescent="0.25">
      <c r="A16">
        <f t="shared" si="2"/>
        <v>14</v>
      </c>
      <c r="B16" t="s">
        <v>42</v>
      </c>
      <c r="C16" t="s">
        <v>4</v>
      </c>
      <c r="D16" t="s">
        <v>66</v>
      </c>
      <c r="E16" t="s">
        <v>63</v>
      </c>
      <c r="F16" t="str">
        <f t="shared" si="0"/>
        <v>PARAM8(14, "PWM Port Select", dimm_temp, dimm_select_update)</v>
      </c>
      <c r="G16" t="str">
        <f t="shared" si="1"/>
        <v>PARAMTEXT(14, "PWM Port Select")</v>
      </c>
    </row>
    <row r="17" spans="1:7" x14ac:dyDescent="0.25">
      <c r="A17">
        <f t="shared" si="2"/>
        <v>15</v>
      </c>
      <c r="B17" t="s">
        <v>44</v>
      </c>
      <c r="C17" t="s">
        <v>4</v>
      </c>
      <c r="D17" t="s">
        <v>66</v>
      </c>
      <c r="E17" t="s">
        <v>64</v>
      </c>
      <c r="F17" t="str">
        <f t="shared" si="0"/>
        <v>PARAM8(15, "PWM Port Delta", dimm_temp, dimm_delta_update)</v>
      </c>
      <c r="G17" t="str">
        <f t="shared" si="1"/>
        <v>PARAMTEXT(15, "PWM Port Delta")</v>
      </c>
    </row>
    <row r="18" spans="1:7" x14ac:dyDescent="0.25">
      <c r="A18">
        <f t="shared" si="2"/>
        <v>16</v>
      </c>
      <c r="B18" t="s">
        <v>43</v>
      </c>
      <c r="C18" t="s">
        <v>4</v>
      </c>
      <c r="D18" t="s">
        <v>66</v>
      </c>
      <c r="E18" t="s">
        <v>65</v>
      </c>
      <c r="F18" t="str">
        <f t="shared" si="0"/>
        <v>PARAM8(16, "PWM Port Target", dimm_temp, dimm_target_update)</v>
      </c>
      <c r="G18" t="str">
        <f t="shared" si="1"/>
        <v>PARAMTEXT(16, "PWM Port Target")</v>
      </c>
    </row>
    <row r="19" spans="1:7" x14ac:dyDescent="0.25">
      <c r="A19">
        <f t="shared" si="2"/>
        <v>17</v>
      </c>
      <c r="B19" t="s">
        <v>15</v>
      </c>
      <c r="C19" t="s">
        <v>4</v>
      </c>
      <c r="D19" t="s">
        <v>14</v>
      </c>
      <c r="E19" t="s">
        <v>67</v>
      </c>
      <c r="F19" t="str">
        <f t="shared" si="0"/>
        <v>PARAM8(17, "PWM Port 1 Target", pwm_port[0].dimm_target, dimm_at_setpoint)</v>
      </c>
      <c r="G19" t="str">
        <f t="shared" si="1"/>
        <v>PARAMTEXT(17, "PWM Port 1 Target")</v>
      </c>
    </row>
    <row r="20" spans="1:7" x14ac:dyDescent="0.25">
      <c r="A20">
        <f t="shared" si="2"/>
        <v>18</v>
      </c>
      <c r="B20" t="s">
        <v>16</v>
      </c>
      <c r="C20" t="s">
        <v>4</v>
      </c>
      <c r="D20" t="s">
        <v>22</v>
      </c>
      <c r="E20" t="s">
        <v>67</v>
      </c>
      <c r="F20" t="str">
        <f t="shared" si="0"/>
        <v>PARAM8(18, "PWM Port 2 Target", pwm_port[1].dimm_target, dimm_at_setpoint)</v>
      </c>
      <c r="G20" t="str">
        <f t="shared" si="1"/>
        <v>PARAMTEXT(18, "PWM Port 2 Target")</v>
      </c>
    </row>
    <row r="21" spans="1:7" x14ac:dyDescent="0.25">
      <c r="A21">
        <f t="shared" si="2"/>
        <v>19</v>
      </c>
      <c r="B21" t="s">
        <v>17</v>
      </c>
      <c r="C21" t="s">
        <v>4</v>
      </c>
      <c r="D21" t="s">
        <v>23</v>
      </c>
      <c r="E21" t="s">
        <v>67</v>
      </c>
      <c r="F21" t="str">
        <f t="shared" si="0"/>
        <v>PARAM8(19, "PWM Port 3 Target", pwm_port[2].dimm_target, dimm_at_setpoint)</v>
      </c>
      <c r="G21" t="str">
        <f t="shared" si="1"/>
        <v>PARAMTEXT(19, "PWM Port 3 Target")</v>
      </c>
    </row>
    <row r="22" spans="1:7" x14ac:dyDescent="0.25">
      <c r="A22">
        <f t="shared" si="2"/>
        <v>20</v>
      </c>
      <c r="B22" t="s">
        <v>18</v>
      </c>
      <c r="C22" t="s">
        <v>4</v>
      </c>
      <c r="D22" t="s">
        <v>24</v>
      </c>
      <c r="E22" t="s">
        <v>67</v>
      </c>
      <c r="F22" t="str">
        <f t="shared" si="0"/>
        <v>PARAM8(20, "PWM Port 4 Target", pwm_port[3].dimm_target, dimm_at_setpoint)</v>
      </c>
      <c r="G22" t="str">
        <f t="shared" si="1"/>
        <v>PARAMTEXT(20, "PWM Port 4 Target")</v>
      </c>
    </row>
    <row r="23" spans="1:7" x14ac:dyDescent="0.25">
      <c r="A23">
        <f t="shared" si="2"/>
        <v>21</v>
      </c>
      <c r="B23" t="s">
        <v>19</v>
      </c>
      <c r="C23" t="s">
        <v>4</v>
      </c>
      <c r="D23" t="s">
        <v>25</v>
      </c>
      <c r="E23" t="s">
        <v>67</v>
      </c>
      <c r="F23" t="str">
        <f t="shared" si="0"/>
        <v>PARAM8(21, "PWM Port 5 Target", pwm_port[4].dimm_target, dimm_at_setpoint)</v>
      </c>
      <c r="G23" t="str">
        <f t="shared" si="1"/>
        <v>PARAMTEXT(21, "PWM Port 5 Target")</v>
      </c>
    </row>
    <row r="24" spans="1:7" x14ac:dyDescent="0.25">
      <c r="A24">
        <f t="shared" si="2"/>
        <v>22</v>
      </c>
      <c r="B24" t="s">
        <v>20</v>
      </c>
      <c r="C24" t="s">
        <v>4</v>
      </c>
      <c r="D24" t="s">
        <v>26</v>
      </c>
      <c r="E24" t="s">
        <v>67</v>
      </c>
      <c r="F24" t="str">
        <f t="shared" si="0"/>
        <v>PARAM8(22, "PWM Port 6 Target", pwm_port[5].dimm_target, dimm_at_setpoint)</v>
      </c>
      <c r="G24" t="str">
        <f t="shared" si="1"/>
        <v>PARAMTEXT(22, "PWM Port 6 Target")</v>
      </c>
    </row>
    <row r="25" spans="1:7" x14ac:dyDescent="0.25">
      <c r="A25">
        <f t="shared" si="2"/>
        <v>23</v>
      </c>
      <c r="B25" t="s">
        <v>21</v>
      </c>
      <c r="C25" t="s">
        <v>4</v>
      </c>
      <c r="D25" t="s">
        <v>27</v>
      </c>
      <c r="E25" t="s">
        <v>67</v>
      </c>
      <c r="F25" t="str">
        <f t="shared" si="0"/>
        <v>PARAM8(23, "PWM Port 7 Target", pwm_port[6].dimm_target, dimm_at_setpoint)</v>
      </c>
      <c r="G25" t="str">
        <f t="shared" si="1"/>
        <v>PARAMTEXT(23, "PWM Port 7 Target")</v>
      </c>
    </row>
    <row r="26" spans="1:7" x14ac:dyDescent="0.25">
      <c r="A26">
        <f t="shared" si="2"/>
        <v>24</v>
      </c>
      <c r="B26" t="s">
        <v>29</v>
      </c>
      <c r="C26" t="s">
        <v>4</v>
      </c>
      <c r="D26" t="s">
        <v>28</v>
      </c>
      <c r="F26" t="str">
        <f t="shared" si="0"/>
        <v>PARAM8(24, "PWM Port 1 Delta", pwm_port[0].dimm_delta, 0)</v>
      </c>
      <c r="G26" t="str">
        <f t="shared" si="1"/>
        <v>PARAMTEXT(24, "PWM Port 1 Delta")</v>
      </c>
    </row>
    <row r="27" spans="1:7" x14ac:dyDescent="0.25">
      <c r="A27">
        <f t="shared" si="2"/>
        <v>25</v>
      </c>
      <c r="B27" t="s">
        <v>30</v>
      </c>
      <c r="C27" t="s">
        <v>4</v>
      </c>
      <c r="D27" t="s">
        <v>36</v>
      </c>
      <c r="F27" t="str">
        <f t="shared" si="0"/>
        <v>PARAM8(25, "PWM Port 2 Delta", pwm_port[1].dimm_delta, 0)</v>
      </c>
      <c r="G27" t="str">
        <f t="shared" si="1"/>
        <v>PARAMTEXT(25, "PWM Port 2 Delta")</v>
      </c>
    </row>
    <row r="28" spans="1:7" x14ac:dyDescent="0.25">
      <c r="A28">
        <f t="shared" si="2"/>
        <v>26</v>
      </c>
      <c r="B28" t="s">
        <v>31</v>
      </c>
      <c r="C28" t="s">
        <v>4</v>
      </c>
      <c r="D28" t="s">
        <v>37</v>
      </c>
      <c r="F28" t="str">
        <f t="shared" si="0"/>
        <v>PARAM8(26, "PWM Port 3 Delta", pwm_port[2].dimm_delta, 0)</v>
      </c>
      <c r="G28" t="str">
        <f t="shared" si="1"/>
        <v>PARAMTEXT(26, "PWM Port 3 Delta")</v>
      </c>
    </row>
    <row r="29" spans="1:7" x14ac:dyDescent="0.25">
      <c r="A29">
        <f t="shared" si="2"/>
        <v>27</v>
      </c>
      <c r="B29" t="s">
        <v>32</v>
      </c>
      <c r="C29" t="s">
        <v>4</v>
      </c>
      <c r="D29" t="s">
        <v>38</v>
      </c>
      <c r="F29" t="str">
        <f t="shared" si="0"/>
        <v>PARAM8(27, "PWM Port 4 Delta", pwm_port[3].dimm_delta, 0)</v>
      </c>
      <c r="G29" t="str">
        <f t="shared" si="1"/>
        <v>PARAMTEXT(27, "PWM Port 4 Delta")</v>
      </c>
    </row>
    <row r="30" spans="1:7" x14ac:dyDescent="0.25">
      <c r="A30">
        <f t="shared" si="2"/>
        <v>28</v>
      </c>
      <c r="B30" t="s">
        <v>33</v>
      </c>
      <c r="C30" t="s">
        <v>4</v>
      </c>
      <c r="D30" t="s">
        <v>39</v>
      </c>
      <c r="F30" t="str">
        <f t="shared" si="0"/>
        <v>PARAM8(28, "PWM Port 5 Delta", pwm_port[4].dimm_delta, 0)</v>
      </c>
      <c r="G30" t="str">
        <f t="shared" si="1"/>
        <v>PARAMTEXT(28, "PWM Port 5 Delta")</v>
      </c>
    </row>
    <row r="31" spans="1:7" x14ac:dyDescent="0.25">
      <c r="A31">
        <f t="shared" si="2"/>
        <v>29</v>
      </c>
      <c r="B31" t="s">
        <v>34</v>
      </c>
      <c r="C31" t="s">
        <v>4</v>
      </c>
      <c r="D31" t="s">
        <v>40</v>
      </c>
      <c r="F31" t="str">
        <f t="shared" si="0"/>
        <v>PARAM8(29, "PWM Port 6 Delta", pwm_port[5].dimm_delta, 0)</v>
      </c>
      <c r="G31" t="str">
        <f t="shared" si="1"/>
        <v>PARAMTEXT(29, "PWM Port 6 Delta")</v>
      </c>
    </row>
    <row r="32" spans="1:7" x14ac:dyDescent="0.25">
      <c r="A32">
        <f t="shared" si="2"/>
        <v>30</v>
      </c>
      <c r="B32" t="s">
        <v>35</v>
      </c>
      <c r="C32" t="s">
        <v>4</v>
      </c>
      <c r="D32" t="s">
        <v>41</v>
      </c>
      <c r="F32" t="str">
        <f t="shared" si="0"/>
        <v>PARAM8(30, "PWM Port 7 Delta", pwm_port[6].dimm_delta, 0)</v>
      </c>
      <c r="G32" t="str">
        <f t="shared" si="1"/>
        <v>PARAMTEXT(30, "PWM Port 7 Delta")</v>
      </c>
    </row>
    <row r="33" spans="1:7" x14ac:dyDescent="0.25">
      <c r="A33">
        <f t="shared" si="2"/>
        <v>31</v>
      </c>
      <c r="B33" t="s">
        <v>69</v>
      </c>
      <c r="C33" t="s">
        <v>4</v>
      </c>
      <c r="D33" t="s">
        <v>70</v>
      </c>
      <c r="F33" t="str">
        <f t="shared" si="0"/>
        <v>PARAM8(31, "Port Mode", port_mode, 0)</v>
      </c>
      <c r="G33" t="str">
        <f t="shared" si="1"/>
        <v>PARAMTEXT(31, "Port Mode")</v>
      </c>
    </row>
    <row r="34" spans="1:7" x14ac:dyDescent="0.25">
      <c r="A34">
        <f t="shared" si="2"/>
        <v>32</v>
      </c>
      <c r="B34" t="s">
        <v>71</v>
      </c>
      <c r="C34" t="s">
        <v>4</v>
      </c>
      <c r="D34" t="s">
        <v>72</v>
      </c>
      <c r="F34" t="str">
        <f t="shared" si="0"/>
        <v>PARAM8(32, "User Register 1", tse_user_reg1, 0)</v>
      </c>
    </row>
    <row r="35" spans="1:7" x14ac:dyDescent="0.25">
      <c r="A35">
        <f t="shared" si="2"/>
        <v>33</v>
      </c>
      <c r="B35" t="s">
        <v>73</v>
      </c>
      <c r="C35" t="s">
        <v>4</v>
      </c>
      <c r="D35" t="s">
        <v>74</v>
      </c>
      <c r="F35" t="str">
        <f t="shared" si="0"/>
        <v>PARAM8(33, "User Register 2", tse_user_reg2, 0)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4"/>
  <sheetViews>
    <sheetView workbookViewId="0">
      <selection activeCell="A5" sqref="A5"/>
    </sheetView>
  </sheetViews>
  <sheetFormatPr baseColWidth="10" defaultRowHeight="15" x14ac:dyDescent="0.25"/>
  <sheetData>
    <row r="1" spans="1:2" x14ac:dyDescent="0.25">
      <c r="A1">
        <v>0</v>
      </c>
      <c r="B1" t="s">
        <v>3</v>
      </c>
    </row>
    <row r="2" spans="1:2" x14ac:dyDescent="0.25">
      <c r="A2">
        <v>1</v>
      </c>
      <c r="B2" t="s">
        <v>4</v>
      </c>
    </row>
    <row r="3" spans="1:2" x14ac:dyDescent="0.25">
      <c r="A3">
        <v>2</v>
      </c>
      <c r="B3" t="s">
        <v>5</v>
      </c>
    </row>
    <row r="4" spans="1:2" x14ac:dyDescent="0.25">
      <c r="A4">
        <v>3</v>
      </c>
      <c r="B4" t="s">
        <v>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Vetterli</dc:creator>
  <cp:lastModifiedBy>manu</cp:lastModifiedBy>
  <dcterms:created xsi:type="dcterms:W3CDTF">2012-05-31T15:20:35Z</dcterms:created>
  <dcterms:modified xsi:type="dcterms:W3CDTF">2014-06-01T18:53:07Z</dcterms:modified>
</cp:coreProperties>
</file>