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vr\contiki\contiki\"/>
    </mc:Choice>
  </mc:AlternateContent>
  <bookViews>
    <workbookView xWindow="480" yWindow="135" windowWidth="18195" windowHeight="11760" activeTab="3"/>
  </bookViews>
  <sheets>
    <sheet name="Parameter Table" sheetId="1" r:id="rId1"/>
    <sheet name="Register Table" sheetId="2" r:id="rId2"/>
    <sheet name="Instruction Table" sheetId="3" r:id="rId3"/>
    <sheet name="Program" sheetId="4" r:id="rId4"/>
  </sheets>
  <definedNames>
    <definedName name="InstructionNameList">InstructionTable[Name]</definedName>
    <definedName name="JumpTargetList">ProgramTable[Line]</definedName>
    <definedName name="ParameterNameList">ParameterTable[Name]</definedName>
    <definedName name="RegisterNameList">RegisterTable[Name]</definedName>
  </definedNames>
  <calcPr calcId="152511"/>
</workbook>
</file>

<file path=xl/calcChain.xml><?xml version="1.0" encoding="utf-8"?>
<calcChain xmlns="http://schemas.openxmlformats.org/spreadsheetml/2006/main">
  <c r="B2" i="2" l="1"/>
  <c r="D2" i="2" s="1"/>
  <c r="B3" i="2"/>
  <c r="D3" i="2" s="1"/>
  <c r="B4" i="2"/>
  <c r="D4" i="2" s="1"/>
  <c r="B5" i="2"/>
  <c r="D5" i="2" s="1"/>
  <c r="B6" i="2"/>
  <c r="D6" i="2" s="1"/>
  <c r="B7" i="2"/>
  <c r="D7" i="2" s="1"/>
  <c r="B8" i="2"/>
  <c r="D8" i="2" s="1"/>
  <c r="B9" i="2"/>
  <c r="D9" i="2" s="1"/>
  <c r="B10" i="2"/>
  <c r="D10" i="2" s="1"/>
  <c r="B11" i="2"/>
  <c r="D11" i="2" s="1"/>
  <c r="B12" i="2"/>
  <c r="D12" i="2" s="1"/>
  <c r="B13" i="2"/>
  <c r="D13" i="2" s="1"/>
  <c r="B14" i="2"/>
  <c r="D14" i="2" s="1"/>
  <c r="B15" i="2"/>
  <c r="D15" i="2" s="1"/>
  <c r="B16" i="2"/>
  <c r="D16" i="2" s="1"/>
  <c r="B17" i="2"/>
  <c r="D17" i="2" s="1"/>
</calcChain>
</file>

<file path=xl/sharedStrings.xml><?xml version="1.0" encoding="utf-8"?>
<sst xmlns="http://schemas.openxmlformats.org/spreadsheetml/2006/main" count="156" uniqueCount="84">
  <si>
    <t>ID</t>
  </si>
  <si>
    <t>Name</t>
  </si>
  <si>
    <t>Mapping ID</t>
  </si>
  <si>
    <t>Mapping Name</t>
  </si>
  <si>
    <t>Argument 1</t>
  </si>
  <si>
    <t>Argument 2</t>
  </si>
  <si>
    <t>Wait</t>
  </si>
  <si>
    <t>Description</t>
  </si>
  <si>
    <t>Wait for 4xArg 1 ticks</t>
  </si>
  <si>
    <t>U4</t>
  </si>
  <si>
    <t>NOP</t>
  </si>
  <si>
    <t>No operation</t>
  </si>
  <si>
    <t>Line</t>
  </si>
  <si>
    <t>Instruction</t>
  </si>
  <si>
    <t>Write</t>
  </si>
  <si>
    <t>R4</t>
  </si>
  <si>
    <t>U8</t>
  </si>
  <si>
    <t>Write and Wait</t>
  </si>
  <si>
    <t>Write value to register and wait until result is zero</t>
  </si>
  <si>
    <t>Write value to register</t>
  </si>
  <si>
    <t>Jump if Bit Set</t>
  </si>
  <si>
    <t>Jump if selected bit in parameter is set</t>
  </si>
  <si>
    <t>U3</t>
  </si>
  <si>
    <t>Argument 3</t>
  </si>
  <si>
    <t>J</t>
  </si>
  <si>
    <t>Jump if Bit Clear</t>
  </si>
  <si>
    <t>Jump if selected bit in parameter is clear</t>
  </si>
  <si>
    <t>Wait Until Bit Is Set</t>
  </si>
  <si>
    <t>Wait until bit is set in register</t>
  </si>
  <si>
    <t>Wait Until Bit Is Clear</t>
  </si>
  <si>
    <t>Wait until bit is clear in register</t>
  </si>
  <si>
    <t>Set Bitmask</t>
  </si>
  <si>
    <t>Set bits in register</t>
  </si>
  <si>
    <t>Clear Bitmask</t>
  </si>
  <si>
    <t>Clear bits in register</t>
  </si>
  <si>
    <t>Script Start</t>
  </si>
  <si>
    <t>Start script</t>
  </si>
  <si>
    <t>Script Execute</t>
  </si>
  <si>
    <t>Start script and wait until finished</t>
  </si>
  <si>
    <t>Script Restart</t>
  </si>
  <si>
    <t>Restart script</t>
  </si>
  <si>
    <t>Script Stop</t>
  </si>
  <si>
    <t>Stop script</t>
  </si>
  <si>
    <t>Move</t>
  </si>
  <si>
    <t>Move and Wait</t>
  </si>
  <si>
    <t>Move register1 to register2</t>
  </si>
  <si>
    <t>Move register1 to register2 and wait until result is zero</t>
  </si>
  <si>
    <t>LN GPIO Status</t>
  </si>
  <si>
    <t>LN GPIO Status Transmit</t>
  </si>
  <si>
    <t>Relay Command</t>
  </si>
  <si>
    <t>Servo 1 Delta</t>
  </si>
  <si>
    <t>Servo 1 Setpoint</t>
  </si>
  <si>
    <t>Servo 2 Delta</t>
  </si>
  <si>
    <t>Servo 2 Setpoint</t>
  </si>
  <si>
    <t>TSE Timer</t>
  </si>
  <si>
    <t>Random Number</t>
  </si>
  <si>
    <t>Port Digital Input Status</t>
  </si>
  <si>
    <t>Port Digital Output Select</t>
  </si>
  <si>
    <t>Port Digital Output Cmd</t>
  </si>
  <si>
    <t>PWM Port Select</t>
  </si>
  <si>
    <t>PWM Port Delta</t>
  </si>
  <si>
    <t>PWM Port Target</t>
  </si>
  <si>
    <t>PWM Port 1 Target</t>
  </si>
  <si>
    <t>PWM Port 2 Target</t>
  </si>
  <si>
    <t>PWM Port 3 Target</t>
  </si>
  <si>
    <t>PWM Port 4 Target</t>
  </si>
  <si>
    <t>PWM Port 5 Target</t>
  </si>
  <si>
    <t>PWM Port 6 Target</t>
  </si>
  <si>
    <t>PWM Port 7 Target</t>
  </si>
  <si>
    <t>PWM Port 1 Delta</t>
  </si>
  <si>
    <t>PWM Port 2 Delta</t>
  </si>
  <si>
    <t>PWM Port 3 Delta</t>
  </si>
  <si>
    <t>PWM Port 4 Delta</t>
  </si>
  <si>
    <t>PWM Port 5 Delta</t>
  </si>
  <si>
    <t>PWM Port 6 Delta</t>
  </si>
  <si>
    <t>PWM Port 7 Delta</t>
  </si>
  <si>
    <t>Port Mode</t>
  </si>
  <si>
    <t>User Register 1</t>
  </si>
  <si>
    <t>User Register 2</t>
  </si>
  <si>
    <t>Spalte1</t>
  </si>
  <si>
    <t>Spalte2</t>
  </si>
  <si>
    <t>Spalte3</t>
  </si>
  <si>
    <t>LN GPIO Opcode Tx 1</t>
  </si>
  <si>
    <t>LN GPIO Opcode Tx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</si>
</sst>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2" borderId="0" xfId="0" applyFill="1"/>
  </cellXfs>
  <cellStyles count="1">
    <cellStyle name="Standard" xfId="0" builtinId="0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ParameterTable" displayName="ParameterTable" ref="A1:B35" totalsRowShown="0">
  <autoFilter ref="A1:B35"/>
  <tableColumns count="2">
    <tableColumn id="1" name="ID"/>
    <tableColumn id="2" name="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RegisterTable" displayName="RegisterTable" ref="A1:D17" totalsRowShown="0">
  <autoFilter ref="A1:D17"/>
  <tableColumns count="4">
    <tableColumn id="1" name="ID"/>
    <tableColumn id="2" name="Mapping ID" dataDxfId="4">
      <calculatedColumnFormula>IFERROR(MATCH(RegisterTable[Mapping Name],ParameterTable[Name],0)-1,RegisterTable[ID])</calculatedColumnFormula>
    </tableColumn>
    <tableColumn id="4" name="Mapping Name"/>
    <tableColumn id="3" name="Name" dataDxfId="3">
      <calculatedColumnFormula>IFERROR(VLOOKUP(IF(NOT(ISNUMBER(RegisterTable[Mapping ID])),RegisterTable[ID],RegisterTable[Mapping ID]),ParameterTable[],2,FALSE),"")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InstructionTable" displayName="InstructionTable" ref="A1:F17" totalsRowShown="0">
  <autoFilter ref="A1:F17"/>
  <tableColumns count="6">
    <tableColumn id="1" name="ID"/>
    <tableColumn id="2" name="Name"/>
    <tableColumn id="3" name="Description"/>
    <tableColumn id="4" name="Argument 1"/>
    <tableColumn id="5" name="Argument 2"/>
    <tableColumn id="6" name="Argument 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ProgramTable" displayName="ProgramTable" ref="A1:H28" totalsRowShown="0">
  <autoFilter ref="A1:H28"/>
  <tableColumns count="8">
    <tableColumn id="1" name="Line"/>
    <tableColumn id="2" name="Instruction"/>
    <tableColumn id="3" name="Argument 1" dataDxfId="2"/>
    <tableColumn id="4" name="Argument 2" dataDxfId="1"/>
    <tableColumn id="8" name="Argument 3" dataDxfId="0"/>
    <tableColumn id="5" name="Spalte1"/>
    <tableColumn id="6" name="Spalte2"/>
    <tableColumn id="7" name="Spalte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topLeftCell="A7" workbookViewId="0">
      <selection activeCell="B16" sqref="B16"/>
    </sheetView>
  </sheetViews>
  <sheetFormatPr baseColWidth="10" defaultColWidth="9.140625" defaultRowHeight="15" x14ac:dyDescent="0.25"/>
  <cols>
    <col min="1" max="1" width="7.7109375" customWidth="1"/>
    <col min="2" max="2" width="26.140625" customWidth="1"/>
  </cols>
  <sheetData>
    <row r="1" spans="1:2" x14ac:dyDescent="0.25">
      <c r="A1" t="s">
        <v>0</v>
      </c>
      <c r="B1" t="s">
        <v>1</v>
      </c>
    </row>
    <row r="2" spans="1:2" x14ac:dyDescent="0.25">
      <c r="A2">
        <v>0</v>
      </c>
      <c r="B2" t="s">
        <v>47</v>
      </c>
    </row>
    <row r="3" spans="1:2" x14ac:dyDescent="0.25">
      <c r="A3">
        <v>1</v>
      </c>
      <c r="B3" t="s">
        <v>48</v>
      </c>
    </row>
    <row r="4" spans="1:2" x14ac:dyDescent="0.25">
      <c r="A4">
        <v>2</v>
      </c>
      <c r="B4" t="s">
        <v>49</v>
      </c>
    </row>
    <row r="5" spans="1:2" x14ac:dyDescent="0.25">
      <c r="A5">
        <v>3</v>
      </c>
      <c r="B5" t="s">
        <v>50</v>
      </c>
    </row>
    <row r="6" spans="1:2" x14ac:dyDescent="0.25">
      <c r="A6">
        <v>4</v>
      </c>
      <c r="B6" t="s">
        <v>51</v>
      </c>
    </row>
    <row r="7" spans="1:2" x14ac:dyDescent="0.25">
      <c r="A7">
        <v>5</v>
      </c>
      <c r="B7" t="s">
        <v>52</v>
      </c>
    </row>
    <row r="8" spans="1:2" x14ac:dyDescent="0.25">
      <c r="A8">
        <v>6</v>
      </c>
      <c r="B8" t="s">
        <v>53</v>
      </c>
    </row>
    <row r="9" spans="1:2" x14ac:dyDescent="0.25">
      <c r="A9">
        <v>7</v>
      </c>
      <c r="B9" t="s">
        <v>54</v>
      </c>
    </row>
    <row r="10" spans="1:2" x14ac:dyDescent="0.25">
      <c r="A10">
        <v>8</v>
      </c>
      <c r="B10" t="s">
        <v>55</v>
      </c>
    </row>
    <row r="11" spans="1:2" x14ac:dyDescent="0.25">
      <c r="A11">
        <v>9</v>
      </c>
      <c r="B11" t="s">
        <v>56</v>
      </c>
    </row>
    <row r="12" spans="1:2" x14ac:dyDescent="0.25">
      <c r="A12">
        <v>10</v>
      </c>
      <c r="B12" t="s">
        <v>57</v>
      </c>
    </row>
    <row r="13" spans="1:2" x14ac:dyDescent="0.25">
      <c r="A13">
        <v>11</v>
      </c>
      <c r="B13" t="s">
        <v>58</v>
      </c>
    </row>
    <row r="14" spans="1:2" x14ac:dyDescent="0.25">
      <c r="A14">
        <v>12</v>
      </c>
      <c r="B14" t="s">
        <v>82</v>
      </c>
    </row>
    <row r="15" spans="1:2" x14ac:dyDescent="0.25">
      <c r="A15">
        <v>13</v>
      </c>
      <c r="B15" t="s">
        <v>83</v>
      </c>
    </row>
    <row r="16" spans="1:2" x14ac:dyDescent="0.25">
      <c r="A16">
        <v>14</v>
      </c>
      <c r="B16" t="s">
        <v>59</v>
      </c>
    </row>
    <row r="17" spans="1:2" x14ac:dyDescent="0.25">
      <c r="A17">
        <v>15</v>
      </c>
      <c r="B17" t="s">
        <v>60</v>
      </c>
    </row>
    <row r="18" spans="1:2" x14ac:dyDescent="0.25">
      <c r="A18">
        <v>16</v>
      </c>
      <c r="B18" t="s">
        <v>61</v>
      </c>
    </row>
    <row r="19" spans="1:2" x14ac:dyDescent="0.25">
      <c r="A19">
        <v>17</v>
      </c>
      <c r="B19" t="s">
        <v>62</v>
      </c>
    </row>
    <row r="20" spans="1:2" x14ac:dyDescent="0.25">
      <c r="A20">
        <v>18</v>
      </c>
      <c r="B20" t="s">
        <v>63</v>
      </c>
    </row>
    <row r="21" spans="1:2" x14ac:dyDescent="0.25">
      <c r="A21">
        <v>19</v>
      </c>
      <c r="B21" t="s">
        <v>64</v>
      </c>
    </row>
    <row r="22" spans="1:2" x14ac:dyDescent="0.25">
      <c r="A22">
        <v>20</v>
      </c>
      <c r="B22" t="s">
        <v>65</v>
      </c>
    </row>
    <row r="23" spans="1:2" x14ac:dyDescent="0.25">
      <c r="A23">
        <v>21</v>
      </c>
      <c r="B23" t="s">
        <v>66</v>
      </c>
    </row>
    <row r="24" spans="1:2" x14ac:dyDescent="0.25">
      <c r="A24">
        <v>22</v>
      </c>
      <c r="B24" t="s">
        <v>67</v>
      </c>
    </row>
    <row r="25" spans="1:2" x14ac:dyDescent="0.25">
      <c r="A25">
        <v>23</v>
      </c>
      <c r="B25" t="s">
        <v>68</v>
      </c>
    </row>
    <row r="26" spans="1:2" x14ac:dyDescent="0.25">
      <c r="A26">
        <v>24</v>
      </c>
      <c r="B26" t="s">
        <v>69</v>
      </c>
    </row>
    <row r="27" spans="1:2" x14ac:dyDescent="0.25">
      <c r="A27">
        <v>25</v>
      </c>
      <c r="B27" t="s">
        <v>70</v>
      </c>
    </row>
    <row r="28" spans="1:2" x14ac:dyDescent="0.25">
      <c r="A28">
        <v>26</v>
      </c>
      <c r="B28" t="s">
        <v>71</v>
      </c>
    </row>
    <row r="29" spans="1:2" x14ac:dyDescent="0.25">
      <c r="A29">
        <v>27</v>
      </c>
      <c r="B29" t="s">
        <v>72</v>
      </c>
    </row>
    <row r="30" spans="1:2" x14ac:dyDescent="0.25">
      <c r="A30">
        <v>28</v>
      </c>
      <c r="B30" t="s">
        <v>73</v>
      </c>
    </row>
    <row r="31" spans="1:2" x14ac:dyDescent="0.25">
      <c r="A31">
        <v>29</v>
      </c>
      <c r="B31" t="s">
        <v>74</v>
      </c>
    </row>
    <row r="32" spans="1:2" x14ac:dyDescent="0.25">
      <c r="A32">
        <v>30</v>
      </c>
      <c r="B32" t="s">
        <v>75</v>
      </c>
    </row>
    <row r="33" spans="1:2" x14ac:dyDescent="0.25">
      <c r="A33">
        <v>31</v>
      </c>
      <c r="B33" t="s">
        <v>76</v>
      </c>
    </row>
    <row r="34" spans="1:2" x14ac:dyDescent="0.25">
      <c r="A34">
        <v>32</v>
      </c>
      <c r="B34" t="s">
        <v>77</v>
      </c>
    </row>
    <row r="35" spans="1:2" x14ac:dyDescent="0.25">
      <c r="A35">
        <v>33</v>
      </c>
      <c r="B35" t="s">
        <v>78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7"/>
  <sheetViews>
    <sheetView workbookViewId="0">
      <selection activeCell="C2" sqref="C2"/>
    </sheetView>
  </sheetViews>
  <sheetFormatPr baseColWidth="10" defaultColWidth="9.140625" defaultRowHeight="15" x14ac:dyDescent="0.25"/>
  <cols>
    <col min="2" max="2" width="13.42578125" bestFit="1" customWidth="1"/>
    <col min="3" max="3" width="19.85546875" customWidth="1"/>
    <col min="4" max="4" width="23.7109375" bestFit="1" customWidth="1"/>
  </cols>
  <sheetData>
    <row r="1" spans="1:4" x14ac:dyDescent="0.25">
      <c r="A1" t="s">
        <v>0</v>
      </c>
      <c r="B1" t="s">
        <v>2</v>
      </c>
      <c r="C1" t="s">
        <v>3</v>
      </c>
      <c r="D1" t="s">
        <v>1</v>
      </c>
    </row>
    <row r="2" spans="1:4" x14ac:dyDescent="0.25">
      <c r="A2">
        <v>15</v>
      </c>
      <c r="B2">
        <f>IFERROR(MATCH(RegisterTable[Mapping Name],ParameterTable[Name],0)-1,RegisterTable[ID])</f>
        <v>15</v>
      </c>
      <c r="D2" t="str">
        <f>IFERROR(VLOOKUP(IF(NOT(ISNUMBER(RegisterTable[Mapping ID])),RegisterTable[ID],RegisterTable[Mapping ID]),ParameterTable[],2,FALSE),"")</f>
        <v>PWM Port Delta</v>
      </c>
    </row>
    <row r="3" spans="1:4" x14ac:dyDescent="0.25">
      <c r="A3">
        <v>14</v>
      </c>
      <c r="B3">
        <f>IFERROR(MATCH(RegisterTable[Mapping Name],ParameterTable[Name],0)-1,RegisterTable[ID])</f>
        <v>14</v>
      </c>
      <c r="D3" t="str">
        <f>IFERROR(VLOOKUP(IF(NOT(ISNUMBER(RegisterTable[Mapping ID])),RegisterTable[ID],RegisterTable[Mapping ID]),ParameterTable[],2,FALSE),"")</f>
        <v>PWM Port Select</v>
      </c>
    </row>
    <row r="4" spans="1:4" x14ac:dyDescent="0.25">
      <c r="A4">
        <v>13</v>
      </c>
      <c r="B4">
        <f>IFERROR(MATCH(RegisterTable[Mapping Name],ParameterTable[Name],0)-1,RegisterTable[ID])</f>
        <v>13</v>
      </c>
      <c r="D4" t="str">
        <f>IFERROR(VLOOKUP(IF(NOT(ISNUMBER(RegisterTable[Mapping ID])),RegisterTable[ID],RegisterTable[Mapping ID]),ParameterTable[],2,FALSE),"")</f>
        <v>LN GPIO Opcode Tx 2</v>
      </c>
    </row>
    <row r="5" spans="1:4" x14ac:dyDescent="0.25">
      <c r="A5">
        <v>12</v>
      </c>
      <c r="B5">
        <f>IFERROR(MATCH(RegisterTable[Mapping Name],ParameterTable[Name],0)-1,RegisterTable[ID])</f>
        <v>12</v>
      </c>
      <c r="D5" t="str">
        <f>IFERROR(VLOOKUP(IF(NOT(ISNUMBER(RegisterTable[Mapping ID])),RegisterTable[ID],RegisterTable[Mapping ID]),ParameterTable[],2,FALSE),"")</f>
        <v>LN GPIO Opcode Tx 1</v>
      </c>
    </row>
    <row r="6" spans="1:4" x14ac:dyDescent="0.25">
      <c r="A6">
        <v>11</v>
      </c>
      <c r="B6">
        <f>IFERROR(MATCH(RegisterTable[Mapping Name],ParameterTable[Name],0)-1,RegisterTable[ID])</f>
        <v>11</v>
      </c>
      <c r="D6" t="str">
        <f>IFERROR(VLOOKUP(IF(NOT(ISNUMBER(RegisterTable[Mapping ID])),RegisterTable[ID],RegisterTable[Mapping ID]),ParameterTable[],2,FALSE),"")</f>
        <v>Port Digital Output Cmd</v>
      </c>
    </row>
    <row r="7" spans="1:4" x14ac:dyDescent="0.25">
      <c r="A7">
        <v>10</v>
      </c>
      <c r="B7">
        <f>IFERROR(MATCH(RegisterTable[Mapping Name],ParameterTable[Name],0)-1,RegisterTable[ID])</f>
        <v>10</v>
      </c>
      <c r="D7" t="str">
        <f>IFERROR(VLOOKUP(IF(NOT(ISNUMBER(RegisterTable[Mapping ID])),RegisterTable[ID],RegisterTable[Mapping ID]),ParameterTable[],2,FALSE),"")</f>
        <v>Port Digital Output Select</v>
      </c>
    </row>
    <row r="8" spans="1:4" x14ac:dyDescent="0.25">
      <c r="A8">
        <v>9</v>
      </c>
      <c r="B8">
        <f>IFERROR(MATCH(RegisterTable[Mapping Name],ParameterTable[Name],0)-1,RegisterTable[ID])</f>
        <v>9</v>
      </c>
      <c r="D8" t="str">
        <f>IFERROR(VLOOKUP(IF(NOT(ISNUMBER(RegisterTable[Mapping ID])),RegisterTable[ID],RegisterTable[Mapping ID]),ParameterTable[],2,FALSE),"")</f>
        <v>Port Digital Input Status</v>
      </c>
    </row>
    <row r="9" spans="1:4" x14ac:dyDescent="0.25">
      <c r="A9">
        <v>8</v>
      </c>
      <c r="B9">
        <f>IFERROR(MATCH(RegisterTable[Mapping Name],ParameterTable[Name],0)-1,RegisterTable[ID])</f>
        <v>8</v>
      </c>
      <c r="D9" t="str">
        <f>IFERROR(VLOOKUP(IF(NOT(ISNUMBER(RegisterTable[Mapping ID])),RegisterTable[ID],RegisterTable[Mapping ID]),ParameterTable[],2,FALSE),"")</f>
        <v>Random Number</v>
      </c>
    </row>
    <row r="10" spans="1:4" x14ac:dyDescent="0.25">
      <c r="A10">
        <v>7</v>
      </c>
      <c r="B10">
        <f>IFERROR(MATCH(RegisterTable[Mapping Name],ParameterTable[Name],0)-1,RegisterTable[ID])</f>
        <v>7</v>
      </c>
      <c r="D10" t="str">
        <f>IFERROR(VLOOKUP(IF(NOT(ISNUMBER(RegisterTable[Mapping ID])),RegisterTable[ID],RegisterTable[Mapping ID]),ParameterTable[],2,FALSE),"")</f>
        <v>TSE Timer</v>
      </c>
    </row>
    <row r="11" spans="1:4" x14ac:dyDescent="0.25">
      <c r="A11">
        <v>6</v>
      </c>
      <c r="B11">
        <f>IFERROR(MATCH(RegisterTable[Mapping Name],ParameterTable[Name],0)-1,RegisterTable[ID])</f>
        <v>6</v>
      </c>
      <c r="D11" t="str">
        <f>IFERROR(VLOOKUP(IF(NOT(ISNUMBER(RegisterTable[Mapping ID])),RegisterTable[ID],RegisterTable[Mapping ID]),ParameterTable[],2,FALSE),"")</f>
        <v>Servo 2 Setpoint</v>
      </c>
    </row>
    <row r="12" spans="1:4" x14ac:dyDescent="0.25">
      <c r="A12">
        <v>5</v>
      </c>
      <c r="B12">
        <f>IFERROR(MATCH(RegisterTable[Mapping Name],ParameterTable[Name],0)-1,RegisterTable[ID])</f>
        <v>5</v>
      </c>
      <c r="D12" t="str">
        <f>IFERROR(VLOOKUP(IF(NOT(ISNUMBER(RegisterTable[Mapping ID])),RegisterTable[ID],RegisterTable[Mapping ID]),ParameterTable[],2,FALSE),"")</f>
        <v>Servo 2 Delta</v>
      </c>
    </row>
    <row r="13" spans="1:4" x14ac:dyDescent="0.25">
      <c r="A13">
        <v>4</v>
      </c>
      <c r="B13">
        <f>IFERROR(MATCH(RegisterTable[Mapping Name],ParameterTable[Name],0)-1,RegisterTable[ID])</f>
        <v>4</v>
      </c>
      <c r="D13" t="str">
        <f>IFERROR(VLOOKUP(IF(NOT(ISNUMBER(RegisterTable[Mapping ID])),RegisterTable[ID],RegisterTable[Mapping ID]),ParameterTable[],2,FALSE),"")</f>
        <v>Servo 1 Setpoint</v>
      </c>
    </row>
    <row r="14" spans="1:4" x14ac:dyDescent="0.25">
      <c r="A14">
        <v>3</v>
      </c>
      <c r="B14">
        <f>IFERROR(MATCH(RegisterTable[Mapping Name],ParameterTable[Name],0)-1,RegisterTable[ID])</f>
        <v>3</v>
      </c>
      <c r="D14" t="str">
        <f>IFERROR(VLOOKUP(IF(NOT(ISNUMBER(RegisterTable[Mapping ID])),RegisterTable[ID],RegisterTable[Mapping ID]),ParameterTable[],2,FALSE),"")</f>
        <v>Servo 1 Delta</v>
      </c>
    </row>
    <row r="15" spans="1:4" x14ac:dyDescent="0.25">
      <c r="A15">
        <v>2</v>
      </c>
      <c r="B15">
        <f>IFERROR(MATCH(RegisterTable[Mapping Name],ParameterTable[Name],0)-1,RegisterTable[ID])</f>
        <v>2</v>
      </c>
      <c r="D15" t="str">
        <f>IFERROR(VLOOKUP(IF(NOT(ISNUMBER(RegisterTable[Mapping ID])),RegisterTable[ID],RegisterTable[Mapping ID]),ParameterTable[],2,FALSE),"")</f>
        <v>Relay Command</v>
      </c>
    </row>
    <row r="16" spans="1:4" x14ac:dyDescent="0.25">
      <c r="A16">
        <v>1</v>
      </c>
      <c r="B16">
        <f>IFERROR(MATCH(RegisterTable[Mapping Name],ParameterTable[Name],0)-1,RegisterTable[ID])</f>
        <v>1</v>
      </c>
      <c r="D16" t="str">
        <f>IFERROR(VLOOKUP(IF(NOT(ISNUMBER(RegisterTable[Mapping ID])),RegisterTable[ID],RegisterTable[Mapping ID]),ParameterTable[],2,FALSE),"")</f>
        <v>LN GPIO Status Transmit</v>
      </c>
    </row>
    <row r="17" spans="1:4" x14ac:dyDescent="0.25">
      <c r="A17">
        <v>0</v>
      </c>
      <c r="B17">
        <f>IFERROR(MATCH(RegisterTable[Mapping Name],ParameterTable[Name],0)-1,RegisterTable[ID])</f>
        <v>0</v>
      </c>
      <c r="D17" t="str">
        <f>IFERROR(VLOOKUP(IF(NOT(ISNUMBER(RegisterTable[Mapping ID])),RegisterTable[ID],RegisterTable[Mapping ID]),ParameterTable[],2,FALSE),"")</f>
        <v>LN GPIO Status</v>
      </c>
    </row>
  </sheetData>
  <dataValidations count="1">
    <dataValidation type="list" allowBlank="1" showInputMessage="1" showErrorMessage="1" sqref="C2:C17">
      <formula1>ParameterNameList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>
      <selection activeCell="C18" sqref="C18"/>
    </sheetView>
  </sheetViews>
  <sheetFormatPr baseColWidth="10" defaultColWidth="9.140625" defaultRowHeight="15" x14ac:dyDescent="0.25"/>
  <cols>
    <col min="2" max="2" width="14.28515625" bestFit="1" customWidth="1"/>
    <col min="3" max="3" width="50.28515625" customWidth="1"/>
    <col min="4" max="4" width="13.7109375" customWidth="1"/>
    <col min="5" max="6" width="13.42578125" customWidth="1"/>
  </cols>
  <sheetData>
    <row r="1" spans="1:6" x14ac:dyDescent="0.25">
      <c r="A1" t="s">
        <v>0</v>
      </c>
      <c r="B1" t="s">
        <v>1</v>
      </c>
      <c r="C1" t="s">
        <v>7</v>
      </c>
      <c r="D1" t="s">
        <v>4</v>
      </c>
      <c r="E1" t="s">
        <v>5</v>
      </c>
      <c r="F1" t="s">
        <v>23</v>
      </c>
    </row>
    <row r="2" spans="1:6" x14ac:dyDescent="0.25">
      <c r="A2">
        <v>0</v>
      </c>
      <c r="B2" t="s">
        <v>10</v>
      </c>
      <c r="C2" t="s">
        <v>11</v>
      </c>
    </row>
    <row r="3" spans="1:6" x14ac:dyDescent="0.25">
      <c r="A3">
        <v>1</v>
      </c>
      <c r="B3" t="s">
        <v>6</v>
      </c>
      <c r="C3" t="s">
        <v>8</v>
      </c>
      <c r="D3" t="s">
        <v>9</v>
      </c>
    </row>
    <row r="4" spans="1:6" x14ac:dyDescent="0.25">
      <c r="A4">
        <v>2</v>
      </c>
      <c r="B4" t="s">
        <v>27</v>
      </c>
      <c r="C4" t="s">
        <v>28</v>
      </c>
      <c r="D4" t="s">
        <v>15</v>
      </c>
      <c r="E4" t="s">
        <v>22</v>
      </c>
    </row>
    <row r="5" spans="1:6" x14ac:dyDescent="0.25">
      <c r="A5">
        <v>3</v>
      </c>
      <c r="B5" t="s">
        <v>29</v>
      </c>
      <c r="C5" t="s">
        <v>30</v>
      </c>
      <c r="D5" t="s">
        <v>15</v>
      </c>
      <c r="E5" t="s">
        <v>22</v>
      </c>
    </row>
    <row r="6" spans="1:6" x14ac:dyDescent="0.25">
      <c r="A6">
        <v>4</v>
      </c>
      <c r="B6" t="s">
        <v>14</v>
      </c>
      <c r="C6" t="s">
        <v>19</v>
      </c>
      <c r="D6" t="s">
        <v>15</v>
      </c>
      <c r="E6" t="s">
        <v>16</v>
      </c>
    </row>
    <row r="7" spans="1:6" x14ac:dyDescent="0.25">
      <c r="A7">
        <v>5</v>
      </c>
      <c r="B7" t="s">
        <v>17</v>
      </c>
      <c r="C7" t="s">
        <v>18</v>
      </c>
      <c r="D7" t="s">
        <v>15</v>
      </c>
      <c r="E7" t="s">
        <v>16</v>
      </c>
    </row>
    <row r="8" spans="1:6" x14ac:dyDescent="0.25">
      <c r="A8">
        <v>6</v>
      </c>
      <c r="B8" t="s">
        <v>20</v>
      </c>
      <c r="C8" t="s">
        <v>21</v>
      </c>
      <c r="D8" t="s">
        <v>15</v>
      </c>
      <c r="E8" t="s">
        <v>22</v>
      </c>
      <c r="F8" t="s">
        <v>24</v>
      </c>
    </row>
    <row r="9" spans="1:6" x14ac:dyDescent="0.25">
      <c r="A9">
        <v>7</v>
      </c>
      <c r="B9" t="s">
        <v>25</v>
      </c>
      <c r="C9" t="s">
        <v>26</v>
      </c>
      <c r="D9" t="s">
        <v>15</v>
      </c>
      <c r="E9" t="s">
        <v>22</v>
      </c>
      <c r="F9" t="s">
        <v>24</v>
      </c>
    </row>
    <row r="10" spans="1:6" x14ac:dyDescent="0.25">
      <c r="A10">
        <v>8</v>
      </c>
      <c r="B10" t="s">
        <v>31</v>
      </c>
      <c r="C10" t="s">
        <v>32</v>
      </c>
      <c r="D10" t="s">
        <v>15</v>
      </c>
      <c r="E10" t="s">
        <v>16</v>
      </c>
    </row>
    <row r="11" spans="1:6" x14ac:dyDescent="0.25">
      <c r="A11">
        <v>9</v>
      </c>
      <c r="B11" t="s">
        <v>33</v>
      </c>
      <c r="C11" t="s">
        <v>34</v>
      </c>
      <c r="D11" t="s">
        <v>15</v>
      </c>
      <c r="E11" t="s">
        <v>16</v>
      </c>
    </row>
    <row r="12" spans="1:6" x14ac:dyDescent="0.25">
      <c r="A12">
        <v>10</v>
      </c>
      <c r="B12" t="s">
        <v>35</v>
      </c>
      <c r="C12" t="s">
        <v>36</v>
      </c>
      <c r="D12" t="s">
        <v>9</v>
      </c>
    </row>
    <row r="13" spans="1:6" x14ac:dyDescent="0.25">
      <c r="A13">
        <v>11</v>
      </c>
      <c r="B13" t="s">
        <v>37</v>
      </c>
      <c r="C13" t="s">
        <v>38</v>
      </c>
      <c r="D13" t="s">
        <v>9</v>
      </c>
    </row>
    <row r="14" spans="1:6" x14ac:dyDescent="0.25">
      <c r="A14">
        <v>12</v>
      </c>
      <c r="B14" t="s">
        <v>39</v>
      </c>
      <c r="C14" t="s">
        <v>40</v>
      </c>
      <c r="D14" t="s">
        <v>9</v>
      </c>
    </row>
    <row r="15" spans="1:6" x14ac:dyDescent="0.25">
      <c r="A15">
        <v>13</v>
      </c>
      <c r="B15" t="s">
        <v>41</v>
      </c>
      <c r="C15" t="s">
        <v>42</v>
      </c>
      <c r="D15" t="s">
        <v>9</v>
      </c>
    </row>
    <row r="16" spans="1:6" x14ac:dyDescent="0.25">
      <c r="A16">
        <v>14</v>
      </c>
      <c r="B16" t="s">
        <v>43</v>
      </c>
      <c r="C16" t="s">
        <v>45</v>
      </c>
      <c r="D16" t="s">
        <v>15</v>
      </c>
      <c r="E16" t="s">
        <v>15</v>
      </c>
    </row>
    <row r="17" spans="1:5" x14ac:dyDescent="0.25">
      <c r="A17">
        <v>15</v>
      </c>
      <c r="B17" t="s">
        <v>44</v>
      </c>
      <c r="C17" t="s">
        <v>46</v>
      </c>
      <c r="D17" t="s">
        <v>15</v>
      </c>
      <c r="E17" t="s">
        <v>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44"/>
  <sheetViews>
    <sheetView tabSelected="1" workbookViewId="0">
      <selection activeCell="B9" sqref="B9"/>
    </sheetView>
  </sheetViews>
  <sheetFormatPr baseColWidth="10" defaultColWidth="9.140625" defaultRowHeight="15" x14ac:dyDescent="0.25"/>
  <cols>
    <col min="2" max="2" width="19.7109375" bestFit="1" customWidth="1"/>
    <col min="3" max="3" width="22.140625" bestFit="1" customWidth="1"/>
    <col min="4" max="5" width="13.42578125" customWidth="1"/>
    <col min="6" max="6" width="19.140625" customWidth="1"/>
    <col min="7" max="8" width="11.42578125" customWidth="1"/>
  </cols>
  <sheetData>
    <row r="1" spans="1:11" x14ac:dyDescent="0.25">
      <c r="A1" t="s">
        <v>12</v>
      </c>
      <c r="B1" t="s">
        <v>13</v>
      </c>
      <c r="C1" t="s">
        <v>4</v>
      </c>
      <c r="D1" t="s">
        <v>5</v>
      </c>
      <c r="E1" t="s">
        <v>23</v>
      </c>
      <c r="F1" t="s">
        <v>79</v>
      </c>
      <c r="G1" t="s">
        <v>80</v>
      </c>
      <c r="H1" t="s">
        <v>81</v>
      </c>
    </row>
    <row r="2" spans="1:11" x14ac:dyDescent="0.25">
      <c r="A2">
        <v>1</v>
      </c>
      <c r="B2" t="s">
        <v>25</v>
      </c>
      <c r="C2" s="1" t="s">
        <v>56</v>
      </c>
      <c r="D2" s="1">
        <v>0</v>
      </c>
      <c r="E2" s="1">
        <v>5</v>
      </c>
      <c r="F2">
        <v>2</v>
      </c>
      <c r="G2">
        <v>73</v>
      </c>
      <c r="H2">
        <v>56</v>
      </c>
      <c r="K2">
        <v>73</v>
      </c>
    </row>
    <row r="3" spans="1:11" x14ac:dyDescent="0.25">
      <c r="A3">
        <v>2</v>
      </c>
      <c r="B3" t="s">
        <v>31</v>
      </c>
      <c r="C3" s="1" t="s">
        <v>82</v>
      </c>
      <c r="D3" s="1">
        <v>1</v>
      </c>
      <c r="E3" s="2"/>
      <c r="F3">
        <v>2</v>
      </c>
      <c r="G3">
        <v>220</v>
      </c>
      <c r="H3">
        <v>1</v>
      </c>
      <c r="K3">
        <v>56</v>
      </c>
    </row>
    <row r="4" spans="1:11" x14ac:dyDescent="0.25">
      <c r="A4">
        <v>3</v>
      </c>
      <c r="B4" t="s">
        <v>29</v>
      </c>
      <c r="C4" s="1" t="s">
        <v>56</v>
      </c>
      <c r="D4" s="1">
        <v>0</v>
      </c>
      <c r="E4" s="2"/>
      <c r="F4">
        <v>2</v>
      </c>
      <c r="G4">
        <v>89</v>
      </c>
      <c r="H4">
        <v>0</v>
      </c>
      <c r="K4">
        <v>220</v>
      </c>
    </row>
    <row r="5" spans="1:11" x14ac:dyDescent="0.25">
      <c r="A5">
        <v>4</v>
      </c>
      <c r="B5" t="s">
        <v>39</v>
      </c>
      <c r="C5" s="1">
        <v>3</v>
      </c>
      <c r="D5" s="2"/>
      <c r="E5" s="2"/>
      <c r="F5">
        <v>1</v>
      </c>
      <c r="G5">
        <v>179</v>
      </c>
      <c r="K5">
        <v>1</v>
      </c>
    </row>
    <row r="6" spans="1:11" x14ac:dyDescent="0.25">
      <c r="A6">
        <v>5</v>
      </c>
      <c r="B6" t="s">
        <v>25</v>
      </c>
      <c r="C6" s="1" t="s">
        <v>56</v>
      </c>
      <c r="D6" s="1">
        <v>1</v>
      </c>
      <c r="E6" s="1">
        <v>9</v>
      </c>
      <c r="F6">
        <v>2</v>
      </c>
      <c r="G6">
        <v>73</v>
      </c>
      <c r="H6">
        <v>57</v>
      </c>
      <c r="K6">
        <v>89</v>
      </c>
    </row>
    <row r="7" spans="1:11" x14ac:dyDescent="0.25">
      <c r="A7">
        <v>6</v>
      </c>
      <c r="B7" t="s">
        <v>31</v>
      </c>
      <c r="C7" s="1" t="s">
        <v>82</v>
      </c>
      <c r="D7" s="1">
        <v>2</v>
      </c>
      <c r="E7" s="2"/>
      <c r="F7">
        <v>2</v>
      </c>
      <c r="G7">
        <v>220</v>
      </c>
      <c r="H7">
        <v>2</v>
      </c>
      <c r="K7">
        <v>0</v>
      </c>
    </row>
    <row r="8" spans="1:11" x14ac:dyDescent="0.25">
      <c r="A8">
        <v>7</v>
      </c>
      <c r="B8" t="s">
        <v>29</v>
      </c>
      <c r="C8" s="1" t="s">
        <v>56</v>
      </c>
      <c r="D8" s="1">
        <v>1</v>
      </c>
      <c r="E8" s="2"/>
      <c r="F8">
        <v>2</v>
      </c>
      <c r="G8">
        <v>89</v>
      </c>
      <c r="H8">
        <v>1</v>
      </c>
      <c r="K8">
        <v>179</v>
      </c>
    </row>
    <row r="9" spans="1:11" x14ac:dyDescent="0.25">
      <c r="A9">
        <v>8</v>
      </c>
      <c r="B9" t="s">
        <v>39</v>
      </c>
      <c r="C9" s="1">
        <v>3</v>
      </c>
      <c r="D9" s="2"/>
      <c r="E9" s="2"/>
      <c r="F9">
        <v>1</v>
      </c>
      <c r="G9">
        <v>179</v>
      </c>
      <c r="K9">
        <v>73</v>
      </c>
    </row>
    <row r="10" spans="1:11" x14ac:dyDescent="0.25">
      <c r="A10">
        <v>9</v>
      </c>
      <c r="B10" t="s">
        <v>25</v>
      </c>
      <c r="C10" s="1" t="s">
        <v>56</v>
      </c>
      <c r="D10" s="1">
        <v>2</v>
      </c>
      <c r="E10" s="1">
        <v>13</v>
      </c>
      <c r="F10">
        <v>2</v>
      </c>
      <c r="G10">
        <v>73</v>
      </c>
      <c r="H10">
        <v>58</v>
      </c>
      <c r="K10">
        <v>57</v>
      </c>
    </row>
    <row r="11" spans="1:11" x14ac:dyDescent="0.25">
      <c r="A11">
        <v>10</v>
      </c>
      <c r="B11" t="s">
        <v>31</v>
      </c>
      <c r="C11" s="1" t="s">
        <v>82</v>
      </c>
      <c r="D11" s="1">
        <v>4</v>
      </c>
      <c r="E11" s="2"/>
      <c r="F11">
        <v>2</v>
      </c>
      <c r="G11">
        <v>220</v>
      </c>
      <c r="H11">
        <v>4</v>
      </c>
      <c r="K11">
        <v>220</v>
      </c>
    </row>
    <row r="12" spans="1:11" x14ac:dyDescent="0.25">
      <c r="A12">
        <v>11</v>
      </c>
      <c r="B12" t="s">
        <v>29</v>
      </c>
      <c r="C12" s="1" t="s">
        <v>56</v>
      </c>
      <c r="D12" s="1">
        <v>2</v>
      </c>
      <c r="E12" s="2"/>
      <c r="F12">
        <v>2</v>
      </c>
      <c r="G12">
        <v>89</v>
      </c>
      <c r="H12">
        <v>2</v>
      </c>
      <c r="K12">
        <v>2</v>
      </c>
    </row>
    <row r="13" spans="1:11" x14ac:dyDescent="0.25">
      <c r="A13">
        <v>12</v>
      </c>
      <c r="B13" t="s">
        <v>39</v>
      </c>
      <c r="C13" s="1">
        <v>3</v>
      </c>
      <c r="D13" s="2"/>
      <c r="E13" s="2"/>
      <c r="F13">
        <v>1</v>
      </c>
      <c r="G13">
        <v>179</v>
      </c>
      <c r="K13">
        <v>89</v>
      </c>
    </row>
    <row r="14" spans="1:11" x14ac:dyDescent="0.25">
      <c r="A14">
        <v>13</v>
      </c>
      <c r="B14" t="s">
        <v>25</v>
      </c>
      <c r="C14" s="1" t="s">
        <v>56</v>
      </c>
      <c r="D14" s="1">
        <v>3</v>
      </c>
      <c r="E14" s="1">
        <v>17</v>
      </c>
      <c r="F14">
        <v>2</v>
      </c>
      <c r="G14">
        <v>73</v>
      </c>
      <c r="H14">
        <v>59</v>
      </c>
      <c r="K14">
        <v>1</v>
      </c>
    </row>
    <row r="15" spans="1:11" x14ac:dyDescent="0.25">
      <c r="A15">
        <v>14</v>
      </c>
      <c r="B15" t="s">
        <v>31</v>
      </c>
      <c r="C15" s="1" t="s">
        <v>82</v>
      </c>
      <c r="D15" s="1">
        <v>8</v>
      </c>
      <c r="E15" s="2"/>
      <c r="F15">
        <v>2</v>
      </c>
      <c r="G15">
        <v>220</v>
      </c>
      <c r="H15">
        <v>8</v>
      </c>
      <c r="K15">
        <v>179</v>
      </c>
    </row>
    <row r="16" spans="1:11" x14ac:dyDescent="0.25">
      <c r="A16">
        <v>15</v>
      </c>
      <c r="B16" t="s">
        <v>29</v>
      </c>
      <c r="C16" s="1" t="s">
        <v>56</v>
      </c>
      <c r="D16" s="1">
        <v>3</v>
      </c>
      <c r="E16" s="2"/>
      <c r="F16">
        <v>2</v>
      </c>
      <c r="G16">
        <v>89</v>
      </c>
      <c r="H16">
        <v>3</v>
      </c>
      <c r="K16">
        <v>73</v>
      </c>
    </row>
    <row r="17" spans="1:11" x14ac:dyDescent="0.25">
      <c r="A17">
        <v>16</v>
      </c>
      <c r="B17" t="s">
        <v>39</v>
      </c>
      <c r="C17" s="1">
        <v>3</v>
      </c>
      <c r="D17" s="2"/>
      <c r="E17" s="2"/>
      <c r="F17">
        <v>1</v>
      </c>
      <c r="G17">
        <v>179</v>
      </c>
      <c r="K17">
        <v>58</v>
      </c>
    </row>
    <row r="18" spans="1:11" x14ac:dyDescent="0.25">
      <c r="A18">
        <v>17</v>
      </c>
      <c r="B18" t="s">
        <v>25</v>
      </c>
      <c r="C18" s="1" t="s">
        <v>56</v>
      </c>
      <c r="D18" s="1">
        <v>4</v>
      </c>
      <c r="E18" s="1">
        <v>21</v>
      </c>
      <c r="F18">
        <v>2</v>
      </c>
      <c r="G18">
        <v>73</v>
      </c>
      <c r="H18">
        <v>60</v>
      </c>
      <c r="K18">
        <v>220</v>
      </c>
    </row>
    <row r="19" spans="1:11" x14ac:dyDescent="0.25">
      <c r="A19">
        <v>18</v>
      </c>
      <c r="B19" t="s">
        <v>31</v>
      </c>
      <c r="C19" s="1" t="s">
        <v>82</v>
      </c>
      <c r="D19" s="1">
        <v>16</v>
      </c>
      <c r="E19" s="2"/>
      <c r="F19">
        <v>2</v>
      </c>
      <c r="G19">
        <v>220</v>
      </c>
      <c r="H19">
        <v>16</v>
      </c>
      <c r="K19">
        <v>4</v>
      </c>
    </row>
    <row r="20" spans="1:11" x14ac:dyDescent="0.25">
      <c r="A20">
        <v>19</v>
      </c>
      <c r="B20" t="s">
        <v>29</v>
      </c>
      <c r="C20" s="1" t="s">
        <v>56</v>
      </c>
      <c r="D20" s="1">
        <v>4</v>
      </c>
      <c r="E20" s="2"/>
      <c r="F20">
        <v>2</v>
      </c>
      <c r="G20">
        <v>89</v>
      </c>
      <c r="H20">
        <v>4</v>
      </c>
      <c r="K20">
        <v>89</v>
      </c>
    </row>
    <row r="21" spans="1:11" x14ac:dyDescent="0.25">
      <c r="A21">
        <v>20</v>
      </c>
      <c r="B21" t="s">
        <v>39</v>
      </c>
      <c r="C21" s="1">
        <v>3</v>
      </c>
      <c r="D21" s="2"/>
      <c r="E21" s="2"/>
      <c r="F21">
        <v>1</v>
      </c>
      <c r="G21">
        <v>179</v>
      </c>
      <c r="K21">
        <v>2</v>
      </c>
    </row>
    <row r="22" spans="1:11" x14ac:dyDescent="0.25">
      <c r="A22">
        <v>21</v>
      </c>
      <c r="B22" t="s">
        <v>25</v>
      </c>
      <c r="C22" s="1" t="s">
        <v>56</v>
      </c>
      <c r="D22" s="1">
        <v>5</v>
      </c>
      <c r="E22" s="1">
        <v>25</v>
      </c>
      <c r="F22">
        <v>2</v>
      </c>
      <c r="G22">
        <v>73</v>
      </c>
      <c r="H22">
        <v>61</v>
      </c>
      <c r="K22">
        <v>179</v>
      </c>
    </row>
    <row r="23" spans="1:11" x14ac:dyDescent="0.25">
      <c r="A23">
        <v>22</v>
      </c>
      <c r="B23" t="s">
        <v>31</v>
      </c>
      <c r="C23" s="1" t="s">
        <v>82</v>
      </c>
      <c r="D23" s="1">
        <v>32</v>
      </c>
      <c r="E23" s="2"/>
      <c r="F23">
        <v>2</v>
      </c>
      <c r="G23">
        <v>220</v>
      </c>
      <c r="H23">
        <v>32</v>
      </c>
      <c r="K23">
        <v>73</v>
      </c>
    </row>
    <row r="24" spans="1:11" x14ac:dyDescent="0.25">
      <c r="A24">
        <v>23</v>
      </c>
      <c r="B24" t="s">
        <v>29</v>
      </c>
      <c r="C24" s="1" t="s">
        <v>56</v>
      </c>
      <c r="D24" s="1">
        <v>5</v>
      </c>
      <c r="E24" s="1"/>
      <c r="F24">
        <v>2</v>
      </c>
      <c r="G24">
        <v>89</v>
      </c>
      <c r="H24">
        <v>5</v>
      </c>
      <c r="K24">
        <v>59</v>
      </c>
    </row>
    <row r="25" spans="1:11" x14ac:dyDescent="0.25">
      <c r="A25">
        <v>24</v>
      </c>
      <c r="B25" t="s">
        <v>39</v>
      </c>
      <c r="C25" s="1">
        <v>3</v>
      </c>
      <c r="D25" s="1"/>
      <c r="E25" s="1"/>
      <c r="F25">
        <v>1</v>
      </c>
      <c r="G25">
        <v>179</v>
      </c>
      <c r="K25">
        <v>220</v>
      </c>
    </row>
    <row r="26" spans="1:11" x14ac:dyDescent="0.25">
      <c r="A26">
        <v>25</v>
      </c>
      <c r="B26" t="s">
        <v>39</v>
      </c>
      <c r="C26" s="1">
        <v>3</v>
      </c>
      <c r="D26" s="1"/>
      <c r="E26" s="1"/>
      <c r="F26">
        <v>1</v>
      </c>
      <c r="G26">
        <v>179</v>
      </c>
      <c r="K26">
        <v>8</v>
      </c>
    </row>
    <row r="27" spans="1:11" x14ac:dyDescent="0.25">
      <c r="A27">
        <v>26</v>
      </c>
      <c r="C27" s="1"/>
      <c r="D27" s="1"/>
      <c r="E27" s="1"/>
      <c r="K27">
        <v>89</v>
      </c>
    </row>
    <row r="28" spans="1:11" x14ac:dyDescent="0.25">
      <c r="A28">
        <v>27</v>
      </c>
      <c r="C28" s="1"/>
      <c r="D28" s="1"/>
      <c r="E28" s="1"/>
      <c r="K28">
        <v>3</v>
      </c>
    </row>
    <row r="29" spans="1:11" x14ac:dyDescent="0.25">
      <c r="K29">
        <v>179</v>
      </c>
    </row>
    <row r="30" spans="1:11" x14ac:dyDescent="0.25">
      <c r="K30">
        <v>73</v>
      </c>
    </row>
    <row r="31" spans="1:11" x14ac:dyDescent="0.25">
      <c r="K31">
        <v>60</v>
      </c>
    </row>
    <row r="32" spans="1:11" x14ac:dyDescent="0.25">
      <c r="K32">
        <v>220</v>
      </c>
    </row>
    <row r="33" spans="11:11" x14ac:dyDescent="0.25">
      <c r="K33">
        <v>16</v>
      </c>
    </row>
    <row r="34" spans="11:11" x14ac:dyDescent="0.25">
      <c r="K34">
        <v>89</v>
      </c>
    </row>
    <row r="35" spans="11:11" x14ac:dyDescent="0.25">
      <c r="K35">
        <v>4</v>
      </c>
    </row>
    <row r="36" spans="11:11" x14ac:dyDescent="0.25">
      <c r="K36">
        <v>179</v>
      </c>
    </row>
    <row r="37" spans="11:11" x14ac:dyDescent="0.25">
      <c r="K37">
        <v>73</v>
      </c>
    </row>
    <row r="38" spans="11:11" x14ac:dyDescent="0.25">
      <c r="K38">
        <v>61</v>
      </c>
    </row>
    <row r="39" spans="11:11" x14ac:dyDescent="0.25">
      <c r="K39">
        <v>220</v>
      </c>
    </row>
    <row r="40" spans="11:11" x14ac:dyDescent="0.25">
      <c r="K40">
        <v>32</v>
      </c>
    </row>
    <row r="41" spans="11:11" x14ac:dyDescent="0.25">
      <c r="K41">
        <v>89</v>
      </c>
    </row>
    <row r="42" spans="11:11" x14ac:dyDescent="0.25">
      <c r="K42">
        <v>5</v>
      </c>
    </row>
    <row r="43" spans="11:11" x14ac:dyDescent="0.25">
      <c r="K43">
        <v>179</v>
      </c>
    </row>
    <row r="44" spans="11:11" x14ac:dyDescent="0.25">
      <c r="K44">
        <v>179</v>
      </c>
    </row>
  </sheetData>
  <dataValidations xWindow="367" yWindow="438" count="50">
    <dataValidation type="list" allowBlank="1" showInputMessage="1" showErrorMessage="1" sqref="B2:B28">
      <formula1>InstructionNameList</formula1>
    </dataValidation>
    <dataValidation type="list" allowBlank="1" showInputMessage="1" showErrorMessage="1" prompt="Register" sqref="C3">
      <formula1>RegisterNameList</formula1>
    </dataValidation>
    <dataValidation type="whole" allowBlank="1" showInputMessage="1" showErrorMessage="1" prompt="Zahl zwischen 0 und 255" sqref="D3">
      <formula1>0</formula1>
      <formula2>255</formula2>
    </dataValidation>
    <dataValidation type="list" allowBlank="1" showInputMessage="1" showErrorMessage="1" prompt="Register" sqref="C2">
      <formula1>RegisterNameList</formula1>
    </dataValidation>
    <dataValidation type="whole" allowBlank="1" showInputMessage="1" showErrorMessage="1" prompt="Zahl zwischen 0 und 7" sqref="D2">
      <formula1>0</formula1>
      <formula2>7</formula2>
    </dataValidation>
    <dataValidation type="list" allowBlank="1" showInputMessage="1" showErrorMessage="1" prompt="Jump Target" sqref="E2">
      <formula1>JumpTargetList</formula1>
    </dataValidation>
    <dataValidation type="whole" allowBlank="1" showInputMessage="1" showErrorMessage="1" prompt="Zahl zwischen 0 und 15" sqref="C5">
      <formula1>0</formula1>
      <formula2>15</formula2>
    </dataValidation>
    <dataValidation type="list" allowBlank="1" showInputMessage="1" showErrorMessage="1" prompt="Register" sqref="C7">
      <formula1>RegisterNameList</formula1>
    </dataValidation>
    <dataValidation type="whole" allowBlank="1" showInputMessage="1" showErrorMessage="1" prompt="Zahl zwischen 0 und 255" sqref="D7">
      <formula1>0</formula1>
      <formula2>255</formula2>
    </dataValidation>
    <dataValidation type="list" allowBlank="1" showInputMessage="1" showErrorMessage="1" prompt="Register" sqref="C10">
      <formula1>RegisterNameList</formula1>
    </dataValidation>
    <dataValidation type="whole" allowBlank="1" showInputMessage="1" showErrorMessage="1" prompt="Zahl zwischen 0 und 7" sqref="D10">
      <formula1>0</formula1>
      <formula2>7</formula2>
    </dataValidation>
    <dataValidation type="list" allowBlank="1" showInputMessage="1" showErrorMessage="1" prompt="Jump Target" sqref="E10">
      <formula1>JumpTargetList</formula1>
    </dataValidation>
    <dataValidation type="list" allowBlank="1" showInputMessage="1" showErrorMessage="1" prompt="Register" sqref="C11">
      <formula1>RegisterNameList</formula1>
    </dataValidation>
    <dataValidation type="whole" allowBlank="1" showInputMessage="1" showErrorMessage="1" prompt="Zahl zwischen 0 und 255" sqref="D11">
      <formula1>0</formula1>
      <formula2>255</formula2>
    </dataValidation>
    <dataValidation type="whole" allowBlank="1" showInputMessage="1" showErrorMessage="1" prompt="Zahl zwischen 0 und 15" sqref="C13">
      <formula1>0</formula1>
      <formula2>15</formula2>
    </dataValidation>
    <dataValidation type="list" allowBlank="1" showInputMessage="1" showErrorMessage="1" prompt="Register" sqref="C14">
      <formula1>RegisterNameList</formula1>
    </dataValidation>
    <dataValidation type="whole" allowBlank="1" showInputMessage="1" showErrorMessage="1" prompt="Zahl zwischen 0 und 7" sqref="D14">
      <formula1>0</formula1>
      <formula2>7</formula2>
    </dataValidation>
    <dataValidation type="list" allowBlank="1" showInputMessage="1" showErrorMessage="1" prompt="Jump Target" sqref="E14">
      <formula1>JumpTargetList</formula1>
    </dataValidation>
    <dataValidation type="list" allowBlank="1" showInputMessage="1" showErrorMessage="1" prompt="Register" sqref="C15">
      <formula1>RegisterNameList</formula1>
    </dataValidation>
    <dataValidation type="whole" allowBlank="1" showInputMessage="1" showErrorMessage="1" prompt="Zahl zwischen 0 und 255" sqref="D15">
      <formula1>0</formula1>
      <formula2>255</formula2>
    </dataValidation>
    <dataValidation type="whole" allowBlank="1" showInputMessage="1" showErrorMessage="1" prompt="Zahl zwischen 0 und 15" sqref="C17">
      <formula1>0</formula1>
      <formula2>15</formula2>
    </dataValidation>
    <dataValidation type="list" allowBlank="1" showInputMessage="1" showErrorMessage="1" prompt="Register" sqref="C18">
      <formula1>RegisterNameList</formula1>
    </dataValidation>
    <dataValidation type="whole" allowBlank="1" showInputMessage="1" showErrorMessage="1" prompt="Zahl zwischen 0 und 7" sqref="D18">
      <formula1>0</formula1>
      <formula2>7</formula2>
    </dataValidation>
    <dataValidation type="list" allowBlank="1" showInputMessage="1" showErrorMessage="1" prompt="Jump Target" sqref="E18">
      <formula1>JumpTargetList</formula1>
    </dataValidation>
    <dataValidation type="list" allowBlank="1" showInputMessage="1" showErrorMessage="1" prompt="Register" sqref="C19">
      <formula1>RegisterNameList</formula1>
    </dataValidation>
    <dataValidation type="whole" allowBlank="1" showInputMessage="1" showErrorMessage="1" prompt="Zahl zwischen 0 und 255" sqref="D19">
      <formula1>0</formula1>
      <formula2>255</formula2>
    </dataValidation>
    <dataValidation type="whole" allowBlank="1" showInputMessage="1" showErrorMessage="1" prompt="Zahl zwischen 0 und 15" sqref="C21">
      <formula1>0</formula1>
      <formula2>15</formula2>
    </dataValidation>
    <dataValidation type="list" allowBlank="1" showInputMessage="1" showErrorMessage="1" prompt="Register" sqref="C22">
      <formula1>RegisterNameList</formula1>
    </dataValidation>
    <dataValidation type="whole" allowBlank="1" showInputMessage="1" showErrorMessage="1" prompt="Zahl zwischen 0 und 7" sqref="D22">
      <formula1>0</formula1>
      <formula2>7</formula2>
    </dataValidation>
    <dataValidation type="list" allowBlank="1" showInputMessage="1" showErrorMessage="1" prompt="Jump Target" sqref="E22">
      <formula1>JumpTargetList</formula1>
    </dataValidation>
    <dataValidation type="list" allowBlank="1" showInputMessage="1" showErrorMessage="1" prompt="Register" sqref="C23">
      <formula1>RegisterNameList</formula1>
    </dataValidation>
    <dataValidation type="whole" allowBlank="1" showInputMessage="1" showErrorMessage="1" prompt="Zahl zwischen 0 und 255" sqref="D23">
      <formula1>0</formula1>
      <formula2>255</formula2>
    </dataValidation>
    <dataValidation type="whole" allowBlank="1" showInputMessage="1" showErrorMessage="1" prompt="Zahl zwischen 0 und 15" sqref="C25">
      <formula1>0</formula1>
      <formula2>15</formula2>
    </dataValidation>
    <dataValidation type="whole" allowBlank="1" showInputMessage="1" showErrorMessage="1" prompt="Zahl zwischen 0 und 15" sqref="C26">
      <formula1>0</formula1>
      <formula2>15</formula2>
    </dataValidation>
    <dataValidation type="list" allowBlank="1" showInputMessage="1" showErrorMessage="1" prompt="Register" sqref="C6">
      <formula1>RegisterNameList</formula1>
    </dataValidation>
    <dataValidation type="whole" allowBlank="1" showInputMessage="1" showErrorMessage="1" prompt="Zahl zwischen 0 und 7" sqref="D6">
      <formula1>0</formula1>
      <formula2>7</formula2>
    </dataValidation>
    <dataValidation type="list" allowBlank="1" showInputMessage="1" showErrorMessage="1" prompt="Jump Target" sqref="E6">
      <formula1>JumpTargetList</formula1>
    </dataValidation>
    <dataValidation type="list" allowBlank="1" showInputMessage="1" showErrorMessage="1" prompt="Register" sqref="C4">
      <formula1>RegisterNameList</formula1>
    </dataValidation>
    <dataValidation type="whole" allowBlank="1" showInputMessage="1" showErrorMessage="1" prompt="Zahl zwischen 0 und 7" sqref="D4">
      <formula1>0</formula1>
      <formula2>7</formula2>
    </dataValidation>
    <dataValidation type="list" allowBlank="1" showInputMessage="1" showErrorMessage="1" prompt="Register" sqref="C8">
      <formula1>RegisterNameList</formula1>
    </dataValidation>
    <dataValidation type="whole" allowBlank="1" showInputMessage="1" showErrorMessage="1" prompt="Zahl zwischen 0 und 7" sqref="D8">
      <formula1>0</formula1>
      <formula2>7</formula2>
    </dataValidation>
    <dataValidation type="list" allowBlank="1" showInputMessage="1" showErrorMessage="1" prompt="Register" sqref="C12">
      <formula1>RegisterNameList</formula1>
    </dataValidation>
    <dataValidation type="whole" allowBlank="1" showInputMessage="1" showErrorMessage="1" prompt="Zahl zwischen 0 und 7" sqref="D12">
      <formula1>0</formula1>
      <formula2>7</formula2>
    </dataValidation>
    <dataValidation type="list" allowBlank="1" showInputMessage="1" showErrorMessage="1" prompt="Register" sqref="C16">
      <formula1>RegisterNameList</formula1>
    </dataValidation>
    <dataValidation type="whole" allowBlank="1" showInputMessage="1" showErrorMessage="1" prompt="Zahl zwischen 0 und 7" sqref="D16">
      <formula1>0</formula1>
      <formula2>7</formula2>
    </dataValidation>
    <dataValidation type="list" allowBlank="1" showInputMessage="1" showErrorMessage="1" prompt="Register" sqref="C20">
      <formula1>RegisterNameList</formula1>
    </dataValidation>
    <dataValidation type="whole" allowBlank="1" showInputMessage="1" showErrorMessage="1" prompt="Zahl zwischen 0 und 7" sqref="D20">
      <formula1>0</formula1>
      <formula2>7</formula2>
    </dataValidation>
    <dataValidation type="list" allowBlank="1" showInputMessage="1" showErrorMessage="1" prompt="Register" sqref="C24">
      <formula1>RegisterNameList</formula1>
    </dataValidation>
    <dataValidation type="whole" allowBlank="1" showInputMessage="1" showErrorMessage="1" prompt="Zahl zwischen 0 und 7" sqref="D24">
      <formula1>0</formula1>
      <formula2>7</formula2>
    </dataValidation>
    <dataValidation type="whole" allowBlank="1" showInputMessage="1" showErrorMessage="1" prompt="Zahl zwischen 0 und 15" sqref="C9">
      <formula1>0</formula1>
      <formula2>15</formula2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4</vt:i4>
      </vt:variant>
    </vt:vector>
  </HeadingPairs>
  <TitlesOfParts>
    <vt:vector size="8" baseType="lpstr">
      <vt:lpstr>Parameter Table</vt:lpstr>
      <vt:lpstr>Register Table</vt:lpstr>
      <vt:lpstr>Instruction Table</vt:lpstr>
      <vt:lpstr>Program</vt:lpstr>
      <vt:lpstr>InstructionNameList</vt:lpstr>
      <vt:lpstr>JumpTargetList</vt:lpstr>
      <vt:lpstr>ParameterNameList</vt:lpstr>
      <vt:lpstr>RegisterNameList</vt:lpstr>
    </vt:vector>
  </TitlesOfParts>
  <Company>ABB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Vetterli</dc:creator>
  <cp:lastModifiedBy>manu</cp:lastModifiedBy>
  <dcterms:created xsi:type="dcterms:W3CDTF">2013-10-30T12:42:15Z</dcterms:created>
  <dcterms:modified xsi:type="dcterms:W3CDTF">2014-06-02T18:51:19Z</dcterms:modified>
</cp:coreProperties>
</file>